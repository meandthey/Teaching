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SKTOP\Desktop\Github\JobMarket\국립한밭대\2025\[Z] 수업준비\25-2 환경경제학\기말고사\"/>
    </mc:Choice>
  </mc:AlternateContent>
  <xr:revisionPtr revIDLastSave="0" documentId="13_ncr:1_{5D3EBC15-C648-4D15-8463-7F1C5A8238A3}" xr6:coauthVersionLast="47" xr6:coauthVersionMax="47" xr10:uidLastSave="{00000000-0000-0000-0000-000000000000}"/>
  <bookViews>
    <workbookView xWindow="-110" yWindow="-110" windowWidth="38620" windowHeight="21100" xr2:uid="{4FFFE621-B2FE-4F11-8D07-756E6EC63B9A}"/>
  </bookViews>
  <sheets>
    <sheet name="Sheet1" sheetId="1" r:id="rId1"/>
  </sheets>
  <definedNames>
    <definedName name="_xlnm._FilterDatabase" localSheetId="0" hidden="1">Sheet1!$A$2:$I$2</definedName>
    <definedName name="_xlchart.v1.0" hidden="1">Sheet1!$D$3:$D$39</definedName>
    <definedName name="_xlchart.v1.1" hidden="1">Sheet1!$F$3:$F$39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H14" i="1"/>
  <c r="H13" i="1"/>
  <c r="H4" i="1"/>
  <c r="H5" i="1"/>
  <c r="H6" i="1"/>
  <c r="H7" i="1"/>
  <c r="H8" i="1"/>
  <c r="H9" i="1"/>
  <c r="H10" i="1"/>
  <c r="H11" i="1"/>
  <c r="H12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" i="1"/>
  <c r="P4" i="1"/>
  <c r="P5" i="1"/>
  <c r="P3" i="1"/>
  <c r="F42" i="1"/>
  <c r="F41" i="1"/>
  <c r="D42" i="1"/>
  <c r="D41" i="1"/>
  <c r="I17" i="1" l="1"/>
  <c r="I7" i="1"/>
  <c r="I18" i="1"/>
  <c r="I11" i="1"/>
  <c r="I12" i="1"/>
  <c r="I27" i="1"/>
  <c r="I23" i="1"/>
  <c r="I22" i="1"/>
  <c r="I10" i="1"/>
  <c r="I28" i="1"/>
  <c r="I15" i="1"/>
  <c r="I9" i="1"/>
  <c r="I3" i="1"/>
  <c r="I31" i="1"/>
  <c r="I21" i="1"/>
  <c r="I25" i="1"/>
  <c r="I13" i="1"/>
  <c r="I24" i="1"/>
  <c r="I29" i="1"/>
  <c r="I5" i="1"/>
  <c r="I4" i="1"/>
  <c r="I30" i="1"/>
  <c r="I19" i="1"/>
  <c r="I20" i="1"/>
  <c r="I32" i="1"/>
  <c r="I8" i="1"/>
  <c r="I14" i="1"/>
  <c r="I16" i="1"/>
  <c r="I26" i="1"/>
  <c r="I6" i="1"/>
</calcChain>
</file>

<file path=xl/sharedStrings.xml><?xml version="1.0" encoding="utf-8"?>
<sst xmlns="http://schemas.openxmlformats.org/spreadsheetml/2006/main" count="119" uniqueCount="94">
  <si>
    <t>20172318</t>
  </si>
  <si>
    <t>최준혁</t>
  </si>
  <si>
    <t>20202587</t>
  </si>
  <si>
    <t>김수인</t>
  </si>
  <si>
    <t>20202601</t>
  </si>
  <si>
    <t>윤정의</t>
  </si>
  <si>
    <t>20202640</t>
  </si>
  <si>
    <t>윤지희</t>
  </si>
  <si>
    <t>20212642</t>
  </si>
  <si>
    <t>이새인</t>
  </si>
  <si>
    <t>20212649</t>
  </si>
  <si>
    <t>정이수</t>
  </si>
  <si>
    <t>20212670</t>
  </si>
  <si>
    <t>부티탄후엔</t>
  </si>
  <si>
    <t>20222655</t>
  </si>
  <si>
    <t>박세훈</t>
  </si>
  <si>
    <t>20222660</t>
  </si>
  <si>
    <t>안치현</t>
  </si>
  <si>
    <t>20222661</t>
  </si>
  <si>
    <t>양성원</t>
  </si>
  <si>
    <t>20222662</t>
  </si>
  <si>
    <t>엄기훈</t>
  </si>
  <si>
    <t>20222668</t>
  </si>
  <si>
    <t>이정원</t>
  </si>
  <si>
    <t>20222680</t>
  </si>
  <si>
    <t>강준혁</t>
  </si>
  <si>
    <t>20222684</t>
  </si>
  <si>
    <t>김정목</t>
  </si>
  <si>
    <t>20222685</t>
  </si>
  <si>
    <t>김정태</t>
  </si>
  <si>
    <t>20222686</t>
  </si>
  <si>
    <t>김지수</t>
  </si>
  <si>
    <t>20222699</t>
  </si>
  <si>
    <t>신재훈</t>
  </si>
  <si>
    <t>20222704</t>
  </si>
  <si>
    <t>이준범</t>
  </si>
  <si>
    <t>20222973</t>
  </si>
  <si>
    <t>쉬애티엔쥐</t>
  </si>
  <si>
    <t>20232489</t>
  </si>
  <si>
    <t>이채림</t>
  </si>
  <si>
    <t>20232646</t>
  </si>
  <si>
    <t>김현서</t>
  </si>
  <si>
    <t>20232702</t>
  </si>
  <si>
    <t>한준성</t>
  </si>
  <si>
    <t>20242672</t>
  </si>
  <si>
    <t>강유현</t>
  </si>
  <si>
    <t>20242677</t>
  </si>
  <si>
    <t>김용빈</t>
  </si>
  <si>
    <t>20242681</t>
  </si>
  <si>
    <t>김지나</t>
  </si>
  <si>
    <t>20242684</t>
  </si>
  <si>
    <t>민동혁</t>
  </si>
  <si>
    <t>20242685</t>
  </si>
  <si>
    <t>박소영</t>
  </si>
  <si>
    <t>20242694</t>
  </si>
  <si>
    <t>윤소영</t>
  </si>
  <si>
    <t>20242699</t>
  </si>
  <si>
    <t>임찬묵</t>
  </si>
  <si>
    <t>20242703</t>
  </si>
  <si>
    <t>최정원</t>
  </si>
  <si>
    <t>20242710</t>
  </si>
  <si>
    <t>김나영</t>
  </si>
  <si>
    <t>20242713</t>
  </si>
  <si>
    <t>김민지</t>
  </si>
  <si>
    <t>20242714</t>
  </si>
  <si>
    <t>김세은</t>
  </si>
  <si>
    <t>20242720</t>
  </si>
  <si>
    <t>박혜정</t>
  </si>
  <si>
    <t>20242730</t>
  </si>
  <si>
    <t>이기주</t>
  </si>
  <si>
    <t>20242733</t>
  </si>
  <si>
    <t>장세희</t>
  </si>
  <si>
    <t>20242978</t>
  </si>
  <si>
    <t>쉬 민후이</t>
  </si>
  <si>
    <t>중간고사</t>
    <phoneticPr fontId="2" type="noConversion"/>
  </si>
  <si>
    <t>No</t>
    <phoneticPr fontId="2" type="noConversion"/>
  </si>
  <si>
    <t>학번</t>
    <phoneticPr fontId="2" type="noConversion"/>
  </si>
  <si>
    <t>성명</t>
    <phoneticPr fontId="2" type="noConversion"/>
  </si>
  <si>
    <t>기말고사</t>
    <phoneticPr fontId="2" type="noConversion"/>
  </si>
  <si>
    <t>총점</t>
    <phoneticPr fontId="2" type="noConversion"/>
  </si>
  <si>
    <t>등수</t>
    <phoneticPr fontId="2" type="noConversion"/>
  </si>
  <si>
    <t>평균</t>
    <phoneticPr fontId="2" type="noConversion"/>
  </si>
  <si>
    <t>표준편차</t>
    <phoneticPr fontId="2" type="noConversion"/>
  </si>
  <si>
    <t>명</t>
    <phoneticPr fontId="2" type="noConversion"/>
  </si>
  <si>
    <t>A+</t>
    <phoneticPr fontId="2" type="noConversion"/>
  </si>
  <si>
    <t>A0</t>
    <phoneticPr fontId="2" type="noConversion"/>
  </si>
  <si>
    <t>B+</t>
    <phoneticPr fontId="2" type="noConversion"/>
  </si>
  <si>
    <t>B0</t>
    <phoneticPr fontId="2" type="noConversion"/>
  </si>
  <si>
    <t>C+</t>
    <phoneticPr fontId="2" type="noConversion"/>
  </si>
  <si>
    <t>절대(외국인)</t>
    <phoneticPr fontId="2" type="noConversion"/>
  </si>
  <si>
    <t>C+  (B0)</t>
    <phoneticPr fontId="2" type="noConversion"/>
  </si>
  <si>
    <t>C0   (C+)</t>
    <phoneticPr fontId="2" type="noConversion"/>
  </si>
  <si>
    <t>C0</t>
    <phoneticPr fontId="2" type="noConversion"/>
  </si>
  <si>
    <t>레포트제출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</si>
</sst>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0.0"/>
  </numFmts>
  <fonts count="6" x14ac:knownFonts="1">
    <font>
      <sz val="11"/>
      <color theme="1"/>
      <name val="맑은 고딕"/>
      <family val="2"/>
      <charset val="129"/>
      <scheme val="minor"/>
    </font>
    <font>
      <sz val="7"/>
      <color rgb="FF000000"/>
      <name val="돋움"/>
      <charset val="129"/>
    </font>
    <font>
      <sz val="8"/>
      <name val="맑은 고딕"/>
      <family val="2"/>
      <charset val="129"/>
      <scheme val="minor"/>
    </font>
    <font>
      <sz val="10"/>
      <color rgb="FF000000"/>
      <name val="돋움"/>
      <charset val="129"/>
    </font>
    <font>
      <sz val="9"/>
      <color rgb="FF000000"/>
      <name val="돋움"/>
      <charset val="129"/>
    </font>
    <font>
      <sz val="10"/>
      <color rgb="FF000000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3" fillId="0" borderId="1" xfId="0" applyNumberFormat="1" applyFont="1" applyBorder="1">
      <alignment vertical="center"/>
    </xf>
    <xf numFmtId="49" fontId="4" fillId="0" borderId="1" xfId="0" applyNumberFormat="1" applyFont="1" applyBorder="1">
      <alignment vertical="center"/>
    </xf>
    <xf numFmtId="176" fontId="1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>
      <alignment vertical="center"/>
    </xf>
    <xf numFmtId="177" fontId="0" fillId="0" borderId="0" xfId="0" applyNumberFormat="1">
      <alignment vertical="center"/>
    </xf>
    <xf numFmtId="49" fontId="5" fillId="0" borderId="0" xfId="0" applyNumberFormat="1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2C6B0163-1BC5-4F92-905C-3159AE63509A}"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6C71A8BD-23E3-4C70-8D9E-3E44F629F949}"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619125</xdr:colOff>
      <xdr:row>4</xdr:row>
      <xdr:rowOff>152400</xdr:rowOff>
    </xdr:from>
    <xdr:to>
      <xdr:col>22</xdr:col>
      <xdr:colOff>568325</xdr:colOff>
      <xdr:row>17</xdr:row>
      <xdr:rowOff>88900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차트 1">
              <a:extLst>
                <a:ext uri="{FF2B5EF4-FFF2-40B4-BE49-F238E27FC236}">
                  <a16:creationId xmlns:a16="http://schemas.microsoft.com/office/drawing/2014/main" id="{CDFA42CA-C760-ED6C-ADB5-EFE4859C45F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5425" y="1016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  <xdr:twoCellAnchor>
    <xdr:from>
      <xdr:col>16</xdr:col>
      <xdr:colOff>0</xdr:colOff>
      <xdr:row>20</xdr:row>
      <xdr:rowOff>0</xdr:rowOff>
    </xdr:from>
    <xdr:to>
      <xdr:col>22</xdr:col>
      <xdr:colOff>609600</xdr:colOff>
      <xdr:row>32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차트 2">
              <a:extLst>
                <a:ext uri="{FF2B5EF4-FFF2-40B4-BE49-F238E27FC236}">
                  <a16:creationId xmlns:a16="http://schemas.microsoft.com/office/drawing/2014/main" id="{22C08144-3626-47CE-A051-6D9E6D4DAF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26700" y="4318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ko-KR" altLang="en-US" sz="1100"/>
                <a:t>Excel 버전에서는 이 차트를 사용할 수 없습니다.
이 도형 편집하거나 이 통합 문서를 다른 파일 형식으로 저장하면 차트가 영구적으로 손상됩니다.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C0E8D-B860-4F50-8716-272A3383DA7B}">
  <dimension ref="A2:P42"/>
  <sheetViews>
    <sheetView tabSelected="1" workbookViewId="0">
      <selection activeCell="K34" sqref="K34"/>
    </sheetView>
  </sheetViews>
  <sheetFormatPr defaultRowHeight="17" x14ac:dyDescent="0.45"/>
  <cols>
    <col min="1" max="1" width="3.1640625" bestFit="1" customWidth="1"/>
    <col min="2" max="2" width="8.5" bestFit="1" customWidth="1"/>
    <col min="4" max="4" width="10.58203125" bestFit="1" customWidth="1"/>
    <col min="5" max="5" width="10.58203125" customWidth="1"/>
  </cols>
  <sheetData>
    <row r="2" spans="1:16" x14ac:dyDescent="0.45">
      <c r="A2" t="s">
        <v>75</v>
      </c>
      <c r="B2" t="s">
        <v>76</v>
      </c>
      <c r="C2" t="s">
        <v>77</v>
      </c>
      <c r="D2" t="s">
        <v>74</v>
      </c>
      <c r="F2" t="s">
        <v>78</v>
      </c>
      <c r="H2" t="s">
        <v>79</v>
      </c>
      <c r="I2" t="s">
        <v>80</v>
      </c>
    </row>
    <row r="3" spans="1:16" x14ac:dyDescent="0.45">
      <c r="A3" s="3">
        <v>31</v>
      </c>
      <c r="B3" s="4" t="s">
        <v>60</v>
      </c>
      <c r="C3" s="1" t="s">
        <v>61</v>
      </c>
      <c r="D3">
        <v>97</v>
      </c>
      <c r="E3">
        <f>RANK(D3,$D$3:$D$32)</f>
        <v>1</v>
      </c>
      <c r="F3">
        <v>74</v>
      </c>
      <c r="G3">
        <f>RANK(F3,$F$3:$F$32)</f>
        <v>1</v>
      </c>
      <c r="H3">
        <f>SUM(D3,F3)</f>
        <v>171</v>
      </c>
      <c r="I3" s="8">
        <f t="shared" ref="I3:I32" si="0">RANK(H3,$H$3:$H$39)</f>
        <v>1</v>
      </c>
      <c r="J3" t="s">
        <v>84</v>
      </c>
      <c r="L3">
        <f>E3-G3</f>
        <v>0</v>
      </c>
      <c r="O3">
        <v>0.3</v>
      </c>
      <c r="P3">
        <f>$H$40*O3</f>
        <v>9</v>
      </c>
    </row>
    <row r="4" spans="1:16" x14ac:dyDescent="0.45">
      <c r="A4" s="3">
        <v>18</v>
      </c>
      <c r="B4" s="4" t="s">
        <v>34</v>
      </c>
      <c r="C4" s="1" t="s">
        <v>35</v>
      </c>
      <c r="D4">
        <v>75</v>
      </c>
      <c r="E4">
        <f t="shared" ref="E4:E32" si="1">RANK(D4,$D$3:$D$32)</f>
        <v>2</v>
      </c>
      <c r="F4">
        <v>65</v>
      </c>
      <c r="G4">
        <f t="shared" ref="G4:G32" si="2">RANK(F4,$F$3:$F$32)</f>
        <v>2</v>
      </c>
      <c r="H4">
        <f t="shared" ref="H4:H32" si="3">SUM(D4,F4)</f>
        <v>140</v>
      </c>
      <c r="I4" s="7">
        <f t="shared" si="0"/>
        <v>2</v>
      </c>
      <c r="J4" t="s">
        <v>85</v>
      </c>
      <c r="L4">
        <f t="shared" ref="L4:L33" si="4">E4-G4</f>
        <v>0</v>
      </c>
      <c r="O4">
        <v>0.4</v>
      </c>
      <c r="P4">
        <f t="shared" ref="P4:P5" si="5">$H$40*O4</f>
        <v>12</v>
      </c>
    </row>
    <row r="5" spans="1:16" x14ac:dyDescent="0.45">
      <c r="A5" s="3">
        <v>24</v>
      </c>
      <c r="B5" s="4" t="s">
        <v>46</v>
      </c>
      <c r="C5" s="1" t="s">
        <v>47</v>
      </c>
      <c r="D5">
        <v>69</v>
      </c>
      <c r="E5">
        <f t="shared" si="1"/>
        <v>3</v>
      </c>
      <c r="F5">
        <v>57</v>
      </c>
      <c r="G5">
        <f t="shared" si="2"/>
        <v>4</v>
      </c>
      <c r="H5">
        <f t="shared" si="3"/>
        <v>126</v>
      </c>
      <c r="I5" s="7">
        <f t="shared" si="0"/>
        <v>3</v>
      </c>
      <c r="J5" t="s">
        <v>85</v>
      </c>
      <c r="L5">
        <f t="shared" si="4"/>
        <v>-1</v>
      </c>
      <c r="O5">
        <v>0.3</v>
      </c>
      <c r="P5">
        <f t="shared" si="5"/>
        <v>9</v>
      </c>
    </row>
    <row r="6" spans="1:16" x14ac:dyDescent="0.45">
      <c r="A6" s="3">
        <v>19</v>
      </c>
      <c r="B6" s="4" t="s">
        <v>36</v>
      </c>
      <c r="C6" s="2" t="s">
        <v>37</v>
      </c>
      <c r="D6">
        <v>68</v>
      </c>
      <c r="E6">
        <f t="shared" si="1"/>
        <v>4</v>
      </c>
      <c r="F6">
        <v>46</v>
      </c>
      <c r="G6">
        <f t="shared" si="2"/>
        <v>6</v>
      </c>
      <c r="H6">
        <f t="shared" si="3"/>
        <v>114</v>
      </c>
      <c r="I6" s="7">
        <f t="shared" si="0"/>
        <v>4</v>
      </c>
      <c r="J6" t="s">
        <v>85</v>
      </c>
      <c r="K6" t="s">
        <v>89</v>
      </c>
      <c r="L6">
        <f t="shared" si="4"/>
        <v>-2</v>
      </c>
    </row>
    <row r="7" spans="1:16" x14ac:dyDescent="0.45">
      <c r="A7" s="3">
        <v>34</v>
      </c>
      <c r="B7" s="4" t="s">
        <v>66</v>
      </c>
      <c r="C7" s="1" t="s">
        <v>67</v>
      </c>
      <c r="D7">
        <v>52</v>
      </c>
      <c r="E7">
        <f t="shared" si="1"/>
        <v>12</v>
      </c>
      <c r="F7">
        <v>60</v>
      </c>
      <c r="G7">
        <f t="shared" si="2"/>
        <v>3</v>
      </c>
      <c r="H7">
        <f t="shared" si="3"/>
        <v>112</v>
      </c>
      <c r="I7" s="7">
        <f t="shared" si="0"/>
        <v>5</v>
      </c>
      <c r="J7" t="s">
        <v>85</v>
      </c>
      <c r="L7">
        <f t="shared" si="4"/>
        <v>9</v>
      </c>
    </row>
    <row r="8" spans="1:16" x14ac:dyDescent="0.45">
      <c r="A8" s="3">
        <v>21</v>
      </c>
      <c r="B8" s="4" t="s">
        <v>40</v>
      </c>
      <c r="C8" s="1" t="s">
        <v>41</v>
      </c>
      <c r="D8">
        <v>63</v>
      </c>
      <c r="E8">
        <f t="shared" si="1"/>
        <v>7</v>
      </c>
      <c r="F8">
        <v>48.5</v>
      </c>
      <c r="G8">
        <f t="shared" si="2"/>
        <v>5</v>
      </c>
      <c r="H8">
        <f t="shared" si="3"/>
        <v>111.5</v>
      </c>
      <c r="I8" s="7">
        <f t="shared" si="0"/>
        <v>6</v>
      </c>
      <c r="J8" t="s">
        <v>85</v>
      </c>
      <c r="L8">
        <f t="shared" si="4"/>
        <v>2</v>
      </c>
    </row>
    <row r="9" spans="1:16" x14ac:dyDescent="0.45">
      <c r="A9" s="3">
        <v>2</v>
      </c>
      <c r="B9" s="4" t="s">
        <v>2</v>
      </c>
      <c r="C9" s="1" t="s">
        <v>3</v>
      </c>
      <c r="D9">
        <v>66</v>
      </c>
      <c r="E9">
        <f t="shared" si="1"/>
        <v>5</v>
      </c>
      <c r="F9">
        <v>43</v>
      </c>
      <c r="G9">
        <f t="shared" si="2"/>
        <v>8</v>
      </c>
      <c r="H9">
        <f t="shared" si="3"/>
        <v>109</v>
      </c>
      <c r="I9" s="7">
        <f t="shared" si="0"/>
        <v>7</v>
      </c>
      <c r="J9" t="s">
        <v>85</v>
      </c>
      <c r="L9">
        <f t="shared" si="4"/>
        <v>-3</v>
      </c>
    </row>
    <row r="10" spans="1:16" x14ac:dyDescent="0.45">
      <c r="A10" s="3">
        <v>10</v>
      </c>
      <c r="B10" s="4" t="s">
        <v>18</v>
      </c>
      <c r="C10" s="1" t="s">
        <v>19</v>
      </c>
      <c r="D10">
        <v>62</v>
      </c>
      <c r="E10">
        <f t="shared" si="1"/>
        <v>8</v>
      </c>
      <c r="F10">
        <v>43</v>
      </c>
      <c r="G10">
        <f t="shared" si="2"/>
        <v>8</v>
      </c>
      <c r="H10">
        <f t="shared" si="3"/>
        <v>105</v>
      </c>
      <c r="I10" s="7">
        <f t="shared" si="0"/>
        <v>8</v>
      </c>
      <c r="J10" t="s">
        <v>85</v>
      </c>
      <c r="L10">
        <f t="shared" si="4"/>
        <v>0</v>
      </c>
    </row>
    <row r="11" spans="1:16" x14ac:dyDescent="0.45">
      <c r="A11" s="3">
        <v>33</v>
      </c>
      <c r="B11" s="4" t="s">
        <v>64</v>
      </c>
      <c r="C11" s="1" t="s">
        <v>65</v>
      </c>
      <c r="D11">
        <v>58</v>
      </c>
      <c r="E11">
        <f t="shared" si="1"/>
        <v>10</v>
      </c>
      <c r="F11">
        <v>43</v>
      </c>
      <c r="G11">
        <f t="shared" si="2"/>
        <v>8</v>
      </c>
      <c r="H11">
        <f t="shared" si="3"/>
        <v>101</v>
      </c>
      <c r="I11" s="7">
        <f t="shared" si="0"/>
        <v>9</v>
      </c>
      <c r="J11" t="s">
        <v>85</v>
      </c>
      <c r="L11">
        <f t="shared" si="4"/>
        <v>2</v>
      </c>
    </row>
    <row r="12" spans="1:16" x14ac:dyDescent="0.45">
      <c r="A12" s="3">
        <v>32</v>
      </c>
      <c r="B12" s="4" t="s">
        <v>62</v>
      </c>
      <c r="C12" s="1" t="s">
        <v>63</v>
      </c>
      <c r="D12">
        <v>66</v>
      </c>
      <c r="E12">
        <f t="shared" si="1"/>
        <v>5</v>
      </c>
      <c r="F12">
        <v>34.5</v>
      </c>
      <c r="G12">
        <f t="shared" si="2"/>
        <v>14</v>
      </c>
      <c r="H12">
        <f t="shared" si="3"/>
        <v>100.5</v>
      </c>
      <c r="I12" s="9">
        <f t="shared" si="0"/>
        <v>10</v>
      </c>
      <c r="J12" t="s">
        <v>86</v>
      </c>
      <c r="L12">
        <f t="shared" si="4"/>
        <v>-9</v>
      </c>
    </row>
    <row r="13" spans="1:16" x14ac:dyDescent="0.45">
      <c r="A13" s="3">
        <v>12</v>
      </c>
      <c r="B13" s="4" t="s">
        <v>22</v>
      </c>
      <c r="C13" s="1" t="s">
        <v>23</v>
      </c>
      <c r="D13">
        <v>60</v>
      </c>
      <c r="E13">
        <f t="shared" si="1"/>
        <v>9</v>
      </c>
      <c r="F13">
        <v>27</v>
      </c>
      <c r="G13">
        <f t="shared" si="2"/>
        <v>20</v>
      </c>
      <c r="H13">
        <f>SUM(D13,F13)</f>
        <v>87</v>
      </c>
      <c r="I13" s="9">
        <f t="shared" si="0"/>
        <v>11</v>
      </c>
      <c r="J13" t="s">
        <v>86</v>
      </c>
      <c r="L13">
        <f t="shared" si="4"/>
        <v>-11</v>
      </c>
    </row>
    <row r="14" spans="1:16" x14ac:dyDescent="0.45">
      <c r="A14" s="3">
        <v>15</v>
      </c>
      <c r="B14" s="4" t="s">
        <v>28</v>
      </c>
      <c r="C14" s="1" t="s">
        <v>29</v>
      </c>
      <c r="D14">
        <v>41.5</v>
      </c>
      <c r="E14">
        <f t="shared" si="1"/>
        <v>17</v>
      </c>
      <c r="F14">
        <v>45.5</v>
      </c>
      <c r="G14">
        <f t="shared" si="2"/>
        <v>7</v>
      </c>
      <c r="H14">
        <f>SUM(D14,F14)</f>
        <v>87</v>
      </c>
      <c r="I14" s="9">
        <f t="shared" si="0"/>
        <v>11</v>
      </c>
      <c r="J14" t="s">
        <v>86</v>
      </c>
      <c r="L14">
        <f t="shared" si="4"/>
        <v>10</v>
      </c>
    </row>
    <row r="15" spans="1:16" x14ac:dyDescent="0.45">
      <c r="A15" s="3">
        <v>20</v>
      </c>
      <c r="B15" s="4" t="s">
        <v>38</v>
      </c>
      <c r="C15" s="1" t="s">
        <v>39</v>
      </c>
      <c r="D15">
        <v>46.5</v>
      </c>
      <c r="E15">
        <f t="shared" si="1"/>
        <v>13</v>
      </c>
      <c r="F15">
        <v>40</v>
      </c>
      <c r="G15">
        <f t="shared" si="2"/>
        <v>13</v>
      </c>
      <c r="H15">
        <f t="shared" si="3"/>
        <v>86.5</v>
      </c>
      <c r="I15" s="9">
        <f t="shared" si="0"/>
        <v>13</v>
      </c>
      <c r="J15" t="s">
        <v>86</v>
      </c>
      <c r="L15">
        <f t="shared" si="4"/>
        <v>0</v>
      </c>
    </row>
    <row r="16" spans="1:16" x14ac:dyDescent="0.45">
      <c r="A16" s="3">
        <v>6</v>
      </c>
      <c r="B16" s="4" t="s">
        <v>10</v>
      </c>
      <c r="C16" s="1" t="s">
        <v>11</v>
      </c>
      <c r="D16">
        <v>52.5</v>
      </c>
      <c r="E16">
        <f t="shared" si="1"/>
        <v>11</v>
      </c>
      <c r="F16">
        <v>33</v>
      </c>
      <c r="G16">
        <f t="shared" si="2"/>
        <v>15</v>
      </c>
      <c r="H16">
        <f t="shared" si="3"/>
        <v>85.5</v>
      </c>
      <c r="I16" s="9">
        <f t="shared" si="0"/>
        <v>14</v>
      </c>
      <c r="J16" t="s">
        <v>86</v>
      </c>
      <c r="L16">
        <f t="shared" si="4"/>
        <v>-4</v>
      </c>
    </row>
    <row r="17" spans="1:12" x14ac:dyDescent="0.45">
      <c r="A17" s="3">
        <v>22</v>
      </c>
      <c r="B17" s="4" t="s">
        <v>42</v>
      </c>
      <c r="C17" s="1" t="s">
        <v>43</v>
      </c>
      <c r="D17">
        <v>40.5</v>
      </c>
      <c r="E17">
        <f t="shared" si="1"/>
        <v>18</v>
      </c>
      <c r="F17">
        <v>41</v>
      </c>
      <c r="G17">
        <f t="shared" si="2"/>
        <v>12</v>
      </c>
      <c r="H17">
        <f t="shared" si="3"/>
        <v>81.5</v>
      </c>
      <c r="I17" s="9">
        <f t="shared" si="0"/>
        <v>15</v>
      </c>
      <c r="J17" t="s">
        <v>86</v>
      </c>
      <c r="L17">
        <f t="shared" si="4"/>
        <v>6</v>
      </c>
    </row>
    <row r="18" spans="1:12" x14ac:dyDescent="0.45">
      <c r="A18" s="3">
        <v>13</v>
      </c>
      <c r="B18" s="4" t="s">
        <v>24</v>
      </c>
      <c r="C18" s="1" t="s">
        <v>25</v>
      </c>
      <c r="D18">
        <v>43.5</v>
      </c>
      <c r="E18">
        <f t="shared" si="1"/>
        <v>15</v>
      </c>
      <c r="F18">
        <v>31</v>
      </c>
      <c r="G18">
        <f t="shared" si="2"/>
        <v>17</v>
      </c>
      <c r="H18">
        <f t="shared" si="3"/>
        <v>74.5</v>
      </c>
      <c r="I18" s="9">
        <f t="shared" si="0"/>
        <v>16</v>
      </c>
      <c r="J18" t="s">
        <v>86</v>
      </c>
      <c r="L18">
        <f t="shared" si="4"/>
        <v>-2</v>
      </c>
    </row>
    <row r="19" spans="1:12" x14ac:dyDescent="0.45">
      <c r="A19" s="3">
        <v>8</v>
      </c>
      <c r="B19" s="4" t="s">
        <v>14</v>
      </c>
      <c r="C19" s="1" t="s">
        <v>15</v>
      </c>
      <c r="D19">
        <v>32</v>
      </c>
      <c r="E19">
        <f t="shared" si="1"/>
        <v>22</v>
      </c>
      <c r="F19">
        <v>42</v>
      </c>
      <c r="G19">
        <f t="shared" si="2"/>
        <v>11</v>
      </c>
      <c r="H19">
        <f t="shared" si="3"/>
        <v>74</v>
      </c>
      <c r="I19" s="9">
        <f t="shared" si="0"/>
        <v>17</v>
      </c>
      <c r="J19" t="s">
        <v>86</v>
      </c>
      <c r="L19">
        <f t="shared" si="4"/>
        <v>11</v>
      </c>
    </row>
    <row r="20" spans="1:12" x14ac:dyDescent="0.45">
      <c r="A20" s="3">
        <v>16</v>
      </c>
      <c r="B20" s="4" t="s">
        <v>30</v>
      </c>
      <c r="C20" s="1" t="s">
        <v>31</v>
      </c>
      <c r="D20">
        <v>44.5</v>
      </c>
      <c r="E20">
        <f t="shared" si="1"/>
        <v>14</v>
      </c>
      <c r="F20">
        <v>29</v>
      </c>
      <c r="G20">
        <f t="shared" si="2"/>
        <v>19</v>
      </c>
      <c r="H20">
        <f t="shared" si="3"/>
        <v>73.5</v>
      </c>
      <c r="I20" s="9">
        <f t="shared" si="0"/>
        <v>18</v>
      </c>
      <c r="J20" t="s">
        <v>86</v>
      </c>
      <c r="L20">
        <f t="shared" si="4"/>
        <v>-5</v>
      </c>
    </row>
    <row r="21" spans="1:12" x14ac:dyDescent="0.45">
      <c r="A21" s="3">
        <v>1</v>
      </c>
      <c r="B21" s="4" t="s">
        <v>0</v>
      </c>
      <c r="C21" s="1" t="s">
        <v>1</v>
      </c>
      <c r="D21">
        <v>42</v>
      </c>
      <c r="E21">
        <f t="shared" si="1"/>
        <v>16</v>
      </c>
      <c r="F21">
        <v>26</v>
      </c>
      <c r="G21">
        <f t="shared" si="2"/>
        <v>21</v>
      </c>
      <c r="H21">
        <f t="shared" si="3"/>
        <v>68</v>
      </c>
      <c r="I21" s="9">
        <f t="shared" si="0"/>
        <v>19</v>
      </c>
      <c r="J21" t="s">
        <v>87</v>
      </c>
      <c r="L21">
        <f t="shared" si="4"/>
        <v>-5</v>
      </c>
    </row>
    <row r="22" spans="1:12" x14ac:dyDescent="0.45">
      <c r="A22" s="3">
        <v>5</v>
      </c>
      <c r="B22" s="4" t="s">
        <v>8</v>
      </c>
      <c r="C22" s="1" t="s">
        <v>9</v>
      </c>
      <c r="D22">
        <v>36</v>
      </c>
      <c r="E22">
        <f t="shared" si="1"/>
        <v>19</v>
      </c>
      <c r="F22">
        <v>30</v>
      </c>
      <c r="G22">
        <f t="shared" si="2"/>
        <v>18</v>
      </c>
      <c r="H22">
        <f t="shared" si="3"/>
        <v>66</v>
      </c>
      <c r="I22" s="9">
        <f t="shared" si="0"/>
        <v>20</v>
      </c>
      <c r="J22" t="s">
        <v>87</v>
      </c>
      <c r="L22">
        <f t="shared" si="4"/>
        <v>1</v>
      </c>
    </row>
    <row r="23" spans="1:12" x14ac:dyDescent="0.45">
      <c r="A23" s="3">
        <v>36</v>
      </c>
      <c r="B23" s="4" t="s">
        <v>70</v>
      </c>
      <c r="C23" s="1" t="s">
        <v>71</v>
      </c>
      <c r="D23">
        <v>32</v>
      </c>
      <c r="E23">
        <f t="shared" si="1"/>
        <v>22</v>
      </c>
      <c r="F23">
        <v>24</v>
      </c>
      <c r="G23">
        <f t="shared" si="2"/>
        <v>22</v>
      </c>
      <c r="H23">
        <f t="shared" si="3"/>
        <v>56</v>
      </c>
      <c r="I23" s="11">
        <f t="shared" si="0"/>
        <v>21</v>
      </c>
      <c r="J23" t="s">
        <v>88</v>
      </c>
      <c r="L23">
        <f t="shared" si="4"/>
        <v>0</v>
      </c>
    </row>
    <row r="24" spans="1:12" x14ac:dyDescent="0.45">
      <c r="A24" s="3">
        <v>9</v>
      </c>
      <c r="B24" s="4" t="s">
        <v>16</v>
      </c>
      <c r="C24" s="1" t="s">
        <v>17</v>
      </c>
      <c r="D24">
        <v>34</v>
      </c>
      <c r="E24">
        <f t="shared" si="1"/>
        <v>20</v>
      </c>
      <c r="F24">
        <v>17.5</v>
      </c>
      <c r="G24">
        <f t="shared" si="2"/>
        <v>28</v>
      </c>
      <c r="H24">
        <f t="shared" si="3"/>
        <v>51.5</v>
      </c>
      <c r="I24" s="11">
        <f t="shared" si="0"/>
        <v>22</v>
      </c>
      <c r="J24" t="s">
        <v>88</v>
      </c>
      <c r="L24">
        <f t="shared" si="4"/>
        <v>-8</v>
      </c>
    </row>
    <row r="25" spans="1:12" x14ac:dyDescent="0.45">
      <c r="A25" s="3">
        <v>17</v>
      </c>
      <c r="B25" s="4" t="s">
        <v>32</v>
      </c>
      <c r="C25" s="1" t="s">
        <v>33</v>
      </c>
      <c r="D25">
        <v>29</v>
      </c>
      <c r="E25">
        <f t="shared" si="1"/>
        <v>25</v>
      </c>
      <c r="F25">
        <v>21</v>
      </c>
      <c r="G25">
        <f t="shared" si="2"/>
        <v>24</v>
      </c>
      <c r="H25">
        <f t="shared" si="3"/>
        <v>50</v>
      </c>
      <c r="I25" s="11">
        <f t="shared" si="0"/>
        <v>23</v>
      </c>
      <c r="J25" t="s">
        <v>88</v>
      </c>
      <c r="L25">
        <f t="shared" si="4"/>
        <v>1</v>
      </c>
    </row>
    <row r="26" spans="1:12" x14ac:dyDescent="0.45">
      <c r="A26" s="3">
        <v>26</v>
      </c>
      <c r="B26" s="4" t="s">
        <v>50</v>
      </c>
      <c r="C26" s="1" t="s">
        <v>51</v>
      </c>
      <c r="D26">
        <v>30</v>
      </c>
      <c r="E26">
        <f t="shared" si="1"/>
        <v>24</v>
      </c>
      <c r="F26">
        <v>20</v>
      </c>
      <c r="G26">
        <f t="shared" si="2"/>
        <v>25</v>
      </c>
      <c r="H26">
        <f t="shared" si="3"/>
        <v>50</v>
      </c>
      <c r="I26" s="11">
        <f t="shared" si="0"/>
        <v>23</v>
      </c>
      <c r="J26" t="s">
        <v>88</v>
      </c>
      <c r="L26">
        <f t="shared" si="4"/>
        <v>-1</v>
      </c>
    </row>
    <row r="27" spans="1:12" x14ac:dyDescent="0.45">
      <c r="A27" s="3">
        <v>37</v>
      </c>
      <c r="B27" s="4" t="s">
        <v>72</v>
      </c>
      <c r="C27" s="1" t="s">
        <v>73</v>
      </c>
      <c r="D27">
        <v>18</v>
      </c>
      <c r="E27">
        <f t="shared" si="1"/>
        <v>29</v>
      </c>
      <c r="F27">
        <v>32</v>
      </c>
      <c r="G27">
        <f t="shared" si="2"/>
        <v>16</v>
      </c>
      <c r="H27">
        <f t="shared" si="3"/>
        <v>50</v>
      </c>
      <c r="I27" s="11">
        <f t="shared" si="0"/>
        <v>23</v>
      </c>
      <c r="J27" t="s">
        <v>90</v>
      </c>
      <c r="K27" t="s">
        <v>89</v>
      </c>
      <c r="L27">
        <f t="shared" si="4"/>
        <v>13</v>
      </c>
    </row>
    <row r="28" spans="1:12" x14ac:dyDescent="0.45">
      <c r="A28" s="3">
        <v>3</v>
      </c>
      <c r="B28" s="4" t="s">
        <v>4</v>
      </c>
      <c r="C28" s="1" t="s">
        <v>5</v>
      </c>
      <c r="D28">
        <v>34</v>
      </c>
      <c r="E28">
        <f t="shared" si="1"/>
        <v>20</v>
      </c>
      <c r="F28">
        <v>15</v>
      </c>
      <c r="G28">
        <f t="shared" si="2"/>
        <v>29</v>
      </c>
      <c r="H28">
        <f t="shared" si="3"/>
        <v>49</v>
      </c>
      <c r="I28" s="11">
        <f t="shared" si="0"/>
        <v>26</v>
      </c>
      <c r="J28" t="s">
        <v>88</v>
      </c>
      <c r="L28">
        <f t="shared" si="4"/>
        <v>-9</v>
      </c>
    </row>
    <row r="29" spans="1:12" x14ac:dyDescent="0.45">
      <c r="A29" s="3">
        <v>35</v>
      </c>
      <c r="B29" s="4" t="s">
        <v>68</v>
      </c>
      <c r="C29" s="1" t="s">
        <v>69</v>
      </c>
      <c r="D29">
        <v>25</v>
      </c>
      <c r="E29">
        <f t="shared" si="1"/>
        <v>26</v>
      </c>
      <c r="F29">
        <v>22</v>
      </c>
      <c r="G29">
        <f t="shared" si="2"/>
        <v>23</v>
      </c>
      <c r="H29">
        <f t="shared" si="3"/>
        <v>47</v>
      </c>
      <c r="I29" s="11">
        <f t="shared" si="0"/>
        <v>27</v>
      </c>
      <c r="J29" t="s">
        <v>88</v>
      </c>
      <c r="L29">
        <f t="shared" si="4"/>
        <v>3</v>
      </c>
    </row>
    <row r="30" spans="1:12" x14ac:dyDescent="0.45">
      <c r="A30" s="3">
        <v>11</v>
      </c>
      <c r="B30" s="4" t="s">
        <v>20</v>
      </c>
      <c r="C30" s="1" t="s">
        <v>21</v>
      </c>
      <c r="D30">
        <v>20</v>
      </c>
      <c r="E30">
        <f t="shared" si="1"/>
        <v>27</v>
      </c>
      <c r="F30">
        <v>19.5</v>
      </c>
      <c r="G30">
        <f t="shared" si="2"/>
        <v>27</v>
      </c>
      <c r="H30">
        <f t="shared" si="3"/>
        <v>39.5</v>
      </c>
      <c r="I30" s="11">
        <f t="shared" si="0"/>
        <v>28</v>
      </c>
      <c r="J30" t="s">
        <v>88</v>
      </c>
      <c r="L30">
        <f t="shared" si="4"/>
        <v>0</v>
      </c>
    </row>
    <row r="31" spans="1:12" x14ac:dyDescent="0.45">
      <c r="A31" s="3">
        <v>14</v>
      </c>
      <c r="B31" s="4" t="s">
        <v>26</v>
      </c>
      <c r="C31" s="1" t="s">
        <v>27</v>
      </c>
      <c r="D31">
        <v>19</v>
      </c>
      <c r="E31">
        <f t="shared" si="1"/>
        <v>28</v>
      </c>
      <c r="F31">
        <v>20</v>
      </c>
      <c r="G31">
        <f t="shared" si="2"/>
        <v>25</v>
      </c>
      <c r="H31">
        <f t="shared" si="3"/>
        <v>39</v>
      </c>
      <c r="I31" s="11">
        <f t="shared" si="0"/>
        <v>29</v>
      </c>
      <c r="J31" t="s">
        <v>88</v>
      </c>
      <c r="L31">
        <f t="shared" si="4"/>
        <v>3</v>
      </c>
    </row>
    <row r="32" spans="1:12" x14ac:dyDescent="0.45">
      <c r="A32" s="3">
        <v>7</v>
      </c>
      <c r="B32" s="4" t="s">
        <v>12</v>
      </c>
      <c r="C32" s="2" t="s">
        <v>13</v>
      </c>
      <c r="D32">
        <v>10.5</v>
      </c>
      <c r="E32">
        <f t="shared" si="1"/>
        <v>30</v>
      </c>
      <c r="F32">
        <v>14</v>
      </c>
      <c r="G32">
        <f t="shared" si="2"/>
        <v>30</v>
      </c>
      <c r="H32">
        <f t="shared" si="3"/>
        <v>24.5</v>
      </c>
      <c r="I32" s="10">
        <f t="shared" si="0"/>
        <v>30</v>
      </c>
      <c r="J32" t="s">
        <v>91</v>
      </c>
      <c r="K32" t="s">
        <v>89</v>
      </c>
      <c r="L32">
        <f t="shared" si="4"/>
        <v>0</v>
      </c>
    </row>
    <row r="33" spans="1:11" x14ac:dyDescent="0.45">
      <c r="A33" s="3">
        <v>4</v>
      </c>
      <c r="B33" s="4" t="s">
        <v>6</v>
      </c>
      <c r="C33" s="1" t="s">
        <v>7</v>
      </c>
      <c r="J33" t="s">
        <v>92</v>
      </c>
      <c r="K33" t="s">
        <v>93</v>
      </c>
    </row>
    <row r="34" spans="1:11" x14ac:dyDescent="0.45">
      <c r="A34" s="3">
        <v>23</v>
      </c>
      <c r="B34" s="4" t="s">
        <v>44</v>
      </c>
      <c r="C34" s="1" t="s">
        <v>45</v>
      </c>
    </row>
    <row r="35" spans="1:11" x14ac:dyDescent="0.45">
      <c r="A35" s="3">
        <v>25</v>
      </c>
      <c r="B35" s="4" t="s">
        <v>48</v>
      </c>
      <c r="C35" s="1" t="s">
        <v>49</v>
      </c>
    </row>
    <row r="36" spans="1:11" x14ac:dyDescent="0.45">
      <c r="A36" s="3">
        <v>27</v>
      </c>
      <c r="B36" s="4" t="s">
        <v>52</v>
      </c>
      <c r="C36" s="1" t="s">
        <v>53</v>
      </c>
    </row>
    <row r="37" spans="1:11" x14ac:dyDescent="0.45">
      <c r="A37" s="3">
        <v>28</v>
      </c>
      <c r="B37" s="4" t="s">
        <v>54</v>
      </c>
      <c r="C37" s="1" t="s">
        <v>55</v>
      </c>
    </row>
    <row r="38" spans="1:11" x14ac:dyDescent="0.45">
      <c r="A38" s="3">
        <v>29</v>
      </c>
      <c r="B38" s="4" t="s">
        <v>56</v>
      </c>
      <c r="C38" s="1" t="s">
        <v>57</v>
      </c>
    </row>
    <row r="39" spans="1:11" x14ac:dyDescent="0.45">
      <c r="A39" s="3">
        <v>30</v>
      </c>
      <c r="B39" s="4" t="s">
        <v>58</v>
      </c>
      <c r="C39" s="1" t="s">
        <v>59</v>
      </c>
    </row>
    <row r="40" spans="1:11" x14ac:dyDescent="0.45">
      <c r="H40">
        <v>30</v>
      </c>
      <c r="I40" t="s">
        <v>83</v>
      </c>
    </row>
    <row r="41" spans="1:11" x14ac:dyDescent="0.45">
      <c r="C41" s="6" t="s">
        <v>81</v>
      </c>
      <c r="D41" s="5">
        <f>AVERAGE(D3:D39)</f>
        <v>45.55</v>
      </c>
      <c r="E41" s="5"/>
      <c r="F41" s="5">
        <f>AVERAGE(F3:F39)</f>
        <v>35.450000000000003</v>
      </c>
    </row>
    <row r="42" spans="1:11" x14ac:dyDescent="0.45">
      <c r="C42" s="6" t="s">
        <v>82</v>
      </c>
      <c r="D42" s="5">
        <f>STDEV(D3:D39)</f>
        <v>19.915922411910564</v>
      </c>
      <c r="E42" s="5"/>
      <c r="F42" s="5">
        <f>STDEV(F3:F39)</f>
        <v>15.310774885230565</v>
      </c>
    </row>
  </sheetData>
  <autoFilter ref="A2:I2" xr:uid="{57CC0E8D-B860-4F50-8716-272A3383DA7B}">
    <sortState xmlns:xlrd2="http://schemas.microsoft.com/office/spreadsheetml/2017/richdata2" ref="A3:I39">
      <sortCondition ref="I2"/>
    </sortState>
  </autoFilter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Seungho Jeon</dc:creator>
  <cp:lastModifiedBy>Seungho Jeon</cp:lastModifiedBy>
  <dcterms:created xsi:type="dcterms:W3CDTF">2025-10-20T07:17:18Z</dcterms:created>
  <dcterms:modified xsi:type="dcterms:W3CDTF">2025-12-22T06:01:43Z</dcterms:modified>
</cp:coreProperties>
</file>