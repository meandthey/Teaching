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환경경제학\보충자료\"/>
    </mc:Choice>
  </mc:AlternateContent>
  <xr:revisionPtr revIDLastSave="0" documentId="13_ncr:1_{96661DE1-7B7B-4990-9906-2ACFBFF6EDA4}" xr6:coauthVersionLast="47" xr6:coauthVersionMax="47" xr10:uidLastSave="{00000000-0000-0000-0000-000000000000}"/>
  <bookViews>
    <workbookView xWindow="57480" yWindow="-120" windowWidth="38640" windowHeight="21120" activeTab="1" xr2:uid="{191AF6D4-D318-462E-A490-64B09A93A8B9}"/>
  </bookViews>
  <sheets>
    <sheet name="Sheet1" sheetId="1" r:id="rId1"/>
    <sheet name="비용편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2" i="2"/>
  <c r="F21" i="2"/>
  <c r="H21" i="2" s="1"/>
  <c r="L23" i="2"/>
  <c r="K23" i="2"/>
  <c r="H23" i="2"/>
  <c r="L22" i="2"/>
  <c r="K22" i="2"/>
  <c r="H22" i="2"/>
  <c r="L21" i="2"/>
  <c r="L24" i="2" s="1"/>
  <c r="K21" i="2"/>
  <c r="L12" i="2"/>
  <c r="K12" i="2"/>
  <c r="L9" i="2"/>
  <c r="L10" i="2"/>
  <c r="L11" i="2"/>
  <c r="K10" i="2"/>
  <c r="K11" i="2"/>
  <c r="K9" i="2"/>
  <c r="H9" i="2"/>
  <c r="H10" i="2"/>
  <c r="H11" i="2"/>
  <c r="G10" i="2"/>
  <c r="G11" i="2"/>
  <c r="G9" i="2"/>
  <c r="F10" i="2"/>
  <c r="F11" i="2"/>
  <c r="F9" i="2"/>
  <c r="L18" i="1"/>
  <c r="K18" i="1"/>
  <c r="J18" i="1"/>
  <c r="I18" i="1"/>
  <c r="H18" i="1"/>
  <c r="B17" i="1"/>
  <c r="A17" i="1"/>
  <c r="A16" i="1"/>
  <c r="I13" i="1"/>
  <c r="J13" i="1"/>
  <c r="K13" i="1"/>
  <c r="L13" i="1"/>
  <c r="H13" i="1"/>
  <c r="L12" i="1"/>
  <c r="L11" i="1"/>
  <c r="K7" i="1"/>
  <c r="K11" i="1"/>
  <c r="H12" i="1"/>
  <c r="H14" i="1" s="1"/>
  <c r="H11" i="1"/>
  <c r="I8" i="1"/>
  <c r="I12" i="1" s="1"/>
  <c r="J8" i="1"/>
  <c r="J12" i="1" s="1"/>
  <c r="K8" i="1"/>
  <c r="K12" i="1" s="1"/>
  <c r="J7" i="1"/>
  <c r="J11" i="1" s="1"/>
  <c r="I7" i="1"/>
  <c r="I11" i="1" s="1"/>
  <c r="K24" i="2" l="1"/>
  <c r="G21" i="2"/>
  <c r="G22" i="2"/>
  <c r="G23" i="2"/>
  <c r="K14" i="1"/>
  <c r="I14" i="1"/>
  <c r="J14" i="1"/>
  <c r="L7" i="1"/>
  <c r="L8" i="1"/>
  <c r="L14" i="1" s="1"/>
</calcChain>
</file>

<file path=xl/sharedStrings.xml><?xml version="1.0" encoding="utf-8"?>
<sst xmlns="http://schemas.openxmlformats.org/spreadsheetml/2006/main" count="29" uniqueCount="19">
  <si>
    <t>2000년</t>
    <phoneticPr fontId="2" type="noConversion"/>
  </si>
  <si>
    <t>2025년</t>
    <phoneticPr fontId="2" type="noConversion"/>
  </si>
  <si>
    <t>인구</t>
    <phoneticPr fontId="2" type="noConversion"/>
  </si>
  <si>
    <t>1인당GDP</t>
    <phoneticPr fontId="2" type="noConversion"/>
  </si>
  <si>
    <t>GDP</t>
    <phoneticPr fontId="2" type="noConversion"/>
  </si>
  <si>
    <t>에너지사용량</t>
    <phoneticPr fontId="2" type="noConversion"/>
  </si>
  <si>
    <t>배출량</t>
    <phoneticPr fontId="2" type="noConversion"/>
  </si>
  <si>
    <t>에너지집약도</t>
    <phoneticPr fontId="2" type="noConversion"/>
  </si>
  <si>
    <t>CO2집약도</t>
    <phoneticPr fontId="2" type="noConversion"/>
  </si>
  <si>
    <t>ln(인구)</t>
    <phoneticPr fontId="2" type="noConversion"/>
  </si>
  <si>
    <t>ln(1인당GDP)</t>
    <phoneticPr fontId="2" type="noConversion"/>
  </si>
  <si>
    <t>ln(에너지집약도)</t>
    <phoneticPr fontId="2" type="noConversion"/>
  </si>
  <si>
    <t>ln(CO2집약도)</t>
    <phoneticPr fontId="2" type="noConversion"/>
  </si>
  <si>
    <t>ln(배출량)</t>
    <phoneticPr fontId="2" type="noConversion"/>
  </si>
  <si>
    <t>t</t>
    <phoneticPr fontId="2" type="noConversion"/>
  </si>
  <si>
    <t>편익</t>
    <phoneticPr fontId="2" type="noConversion"/>
  </si>
  <si>
    <t>비용</t>
    <phoneticPr fontId="2" type="noConversion"/>
  </si>
  <si>
    <t>r</t>
    <phoneticPr fontId="2" type="noConversion"/>
  </si>
  <si>
    <t>이자율이 높아지면 비용이 더 커짐. 왜냐하면 편익이 t=2일때 발생하는데, 할인이 많이 되기 떄문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</si>
</sst>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);[Red]\(0.00000\)"/>
    <numFmt numFmtId="177" formatCode="0.000_ "/>
    <numFmt numFmtId="181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9" fontId="0" fillId="0" borderId="0" xfId="1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81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FCB5-075A-415B-AAFF-F2C12CDF146F}">
  <dimension ref="A6:L18"/>
  <sheetViews>
    <sheetView workbookViewId="0">
      <selection activeCell="F25" sqref="F25"/>
    </sheetView>
  </sheetViews>
  <sheetFormatPr defaultRowHeight="17" x14ac:dyDescent="0.45"/>
  <cols>
    <col min="4" max="4" width="12.33203125" bestFit="1" customWidth="1"/>
    <col min="8" max="8" width="19.4140625" bestFit="1" customWidth="1"/>
    <col min="9" max="9" width="19.08203125" bestFit="1" customWidth="1"/>
    <col min="10" max="10" width="18.33203125" bestFit="1" customWidth="1"/>
    <col min="11" max="11" width="19.08203125" bestFit="1" customWidth="1"/>
    <col min="12" max="12" width="18.33203125" bestFit="1" customWidth="1"/>
  </cols>
  <sheetData>
    <row r="6" spans="1:12" x14ac:dyDescent="0.45">
      <c r="B6" t="s">
        <v>2</v>
      </c>
      <c r="C6" t="s">
        <v>4</v>
      </c>
      <c r="D6" t="s">
        <v>5</v>
      </c>
      <c r="E6" t="s">
        <v>6</v>
      </c>
      <c r="H6" t="s">
        <v>2</v>
      </c>
      <c r="I6" t="s">
        <v>3</v>
      </c>
      <c r="J6" t="s">
        <v>7</v>
      </c>
      <c r="K6" t="s">
        <v>8</v>
      </c>
      <c r="L6" t="s">
        <v>6</v>
      </c>
    </row>
    <row r="7" spans="1:12" x14ac:dyDescent="0.45">
      <c r="A7" t="s">
        <v>0</v>
      </c>
      <c r="B7">
        <v>10</v>
      </c>
      <c r="C7">
        <v>50</v>
      </c>
      <c r="D7">
        <v>1000000</v>
      </c>
      <c r="E7">
        <v>100</v>
      </c>
      <c r="G7" t="s">
        <v>0</v>
      </c>
      <c r="H7">
        <v>10</v>
      </c>
      <c r="I7">
        <f t="shared" ref="I7:K8" si="0">C7/B7</f>
        <v>5</v>
      </c>
      <c r="J7">
        <f t="shared" si="0"/>
        <v>20000</v>
      </c>
      <c r="K7">
        <f t="shared" si="0"/>
        <v>1E-4</v>
      </c>
      <c r="L7">
        <f>H7*I7*J7*K7</f>
        <v>100</v>
      </c>
    </row>
    <row r="8" spans="1:12" x14ac:dyDescent="0.45">
      <c r="A8" t="s">
        <v>1</v>
      </c>
      <c r="B8">
        <v>15</v>
      </c>
      <c r="C8">
        <v>50</v>
      </c>
      <c r="D8">
        <v>1500000</v>
      </c>
      <c r="E8">
        <v>110</v>
      </c>
      <c r="G8" t="s">
        <v>1</v>
      </c>
      <c r="H8">
        <v>15</v>
      </c>
      <c r="I8">
        <f t="shared" si="0"/>
        <v>3.3333333333333335</v>
      </c>
      <c r="J8">
        <f t="shared" si="0"/>
        <v>30000</v>
      </c>
      <c r="K8" s="3">
        <f t="shared" si="0"/>
        <v>7.3333333333333331E-5</v>
      </c>
      <c r="L8">
        <f>H8*I8*J8*K8</f>
        <v>110</v>
      </c>
    </row>
    <row r="10" spans="1:12" x14ac:dyDescent="0.45">
      <c r="H10" t="s">
        <v>9</v>
      </c>
      <c r="I10" t="s">
        <v>10</v>
      </c>
      <c r="J10" t="s">
        <v>11</v>
      </c>
      <c r="K10" t="s">
        <v>12</v>
      </c>
      <c r="L10" t="s">
        <v>13</v>
      </c>
    </row>
    <row r="11" spans="1:12" x14ac:dyDescent="0.45">
      <c r="G11" t="s">
        <v>0</v>
      </c>
      <c r="H11" s="2">
        <f>LN(H7)</f>
        <v>2.3025850929940459</v>
      </c>
      <c r="I11" s="2">
        <f t="shared" ref="I11:J11" si="1">LN(I7)</f>
        <v>1.6094379124341003</v>
      </c>
      <c r="J11" s="2">
        <f t="shared" si="1"/>
        <v>9.9034875525361272</v>
      </c>
      <c r="K11" s="2">
        <f>LN(K7)</f>
        <v>-9.2103403719761818</v>
      </c>
      <c r="L11" s="2">
        <f>LN(L7)</f>
        <v>4.6051701859880918</v>
      </c>
    </row>
    <row r="12" spans="1:12" x14ac:dyDescent="0.45">
      <c r="G12" t="s">
        <v>1</v>
      </c>
      <c r="H12" s="2">
        <f>LN(H8)</f>
        <v>2.7080502011022101</v>
      </c>
      <c r="I12" s="2">
        <f t="shared" ref="I12:K12" si="2">LN(I8)</f>
        <v>1.2039728043259361</v>
      </c>
      <c r="J12" s="2">
        <f t="shared" si="2"/>
        <v>10.308952660644293</v>
      </c>
      <c r="K12" s="2">
        <f t="shared" si="2"/>
        <v>-9.5204953002800217</v>
      </c>
      <c r="L12" s="2">
        <f>LN(L8)</f>
        <v>4.7004803657924166</v>
      </c>
    </row>
    <row r="13" spans="1:12" x14ac:dyDescent="0.45">
      <c r="H13" s="4">
        <f>H12-H11</f>
        <v>0.40546510810816416</v>
      </c>
      <c r="I13" s="4">
        <f t="shared" ref="I13:L13" si="3">I12-I11</f>
        <v>-0.40546510810816416</v>
      </c>
      <c r="J13" s="4">
        <f t="shared" si="3"/>
        <v>0.4054651081081655</v>
      </c>
      <c r="K13" s="4">
        <f t="shared" si="3"/>
        <v>-0.31015492830383984</v>
      </c>
      <c r="L13" s="4">
        <f t="shared" si="3"/>
        <v>9.5310179804324768E-2</v>
      </c>
    </row>
    <row r="14" spans="1:12" x14ac:dyDescent="0.45">
      <c r="H14" s="1">
        <f>H12-H11</f>
        <v>0.40546510810816416</v>
      </c>
      <c r="I14" s="1">
        <f>I12-I11</f>
        <v>-0.40546510810816416</v>
      </c>
      <c r="J14" s="1">
        <f>J12-J11</f>
        <v>0.4054651081081655</v>
      </c>
      <c r="K14" s="1">
        <f>K12-K11</f>
        <v>-0.31015492830383984</v>
      </c>
      <c r="L14" s="1">
        <f>L12-L11</f>
        <v>9.5310179804324768E-2</v>
      </c>
    </row>
    <row r="16" spans="1:12" x14ac:dyDescent="0.45">
      <c r="A16">
        <f>E8-E7</f>
        <v>10</v>
      </c>
    </row>
    <row r="17" spans="1:12" x14ac:dyDescent="0.45">
      <c r="A17">
        <f>LN(E8)-LN(E7)</f>
        <v>9.5310179804324768E-2</v>
      </c>
      <c r="B17">
        <f>A16/A17</f>
        <v>104.92058687257079</v>
      </c>
    </row>
    <row r="18" spans="1:12" x14ac:dyDescent="0.45">
      <c r="H18">
        <f>H13*$B$17</f>
        <v>42.541637099058946</v>
      </c>
      <c r="I18">
        <f>I13*$B$17</f>
        <v>-42.541637099058946</v>
      </c>
      <c r="J18">
        <f>J13*$B$17</f>
        <v>42.541637099059088</v>
      </c>
      <c r="K18">
        <f>K13*$B$17</f>
        <v>-32.541637099058995</v>
      </c>
      <c r="L18">
        <f>L13*$B$17</f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EB03-8532-41B4-B16E-7A76EC9A6BFE}">
  <dimension ref="B6:L24"/>
  <sheetViews>
    <sheetView tabSelected="1" workbookViewId="0">
      <selection activeCell="S14" sqref="S14"/>
    </sheetView>
  </sheetViews>
  <sheetFormatPr defaultRowHeight="17" x14ac:dyDescent="0.45"/>
  <sheetData>
    <row r="6" spans="2:12" x14ac:dyDescent="0.45">
      <c r="F6" t="s">
        <v>17</v>
      </c>
      <c r="G6">
        <v>0.05</v>
      </c>
    </row>
    <row r="8" spans="2:12" x14ac:dyDescent="0.45">
      <c r="B8" t="s">
        <v>14</v>
      </c>
      <c r="C8" t="s">
        <v>15</v>
      </c>
      <c r="D8" t="s">
        <v>16</v>
      </c>
    </row>
    <row r="9" spans="2:12" x14ac:dyDescent="0.45">
      <c r="B9">
        <v>0</v>
      </c>
      <c r="C9">
        <v>0</v>
      </c>
      <c r="D9">
        <v>1000</v>
      </c>
      <c r="F9" s="2">
        <f>1/(1+$G$6)^B9</f>
        <v>1</v>
      </c>
      <c r="G9" s="6">
        <f>C9*$F9</f>
        <v>0</v>
      </c>
      <c r="H9" s="6">
        <f>D9*$F9</f>
        <v>1000</v>
      </c>
      <c r="J9">
        <v>1</v>
      </c>
      <c r="K9" s="5">
        <f>C9*$J9</f>
        <v>0</v>
      </c>
      <c r="L9" s="5">
        <f>D9*$J9</f>
        <v>1000</v>
      </c>
    </row>
    <row r="10" spans="2:12" x14ac:dyDescent="0.45">
      <c r="B10">
        <v>1</v>
      </c>
      <c r="C10">
        <v>100</v>
      </c>
      <c r="D10">
        <v>0</v>
      </c>
      <c r="F10" s="2">
        <f t="shared" ref="F10:F11" si="0">1/(1+$G$6)^B10</f>
        <v>0.95238095238095233</v>
      </c>
      <c r="G10" s="6">
        <f t="shared" ref="G10:H11" si="1">C10*$F10</f>
        <v>95.238095238095227</v>
      </c>
      <c r="H10" s="6">
        <f t="shared" si="1"/>
        <v>0</v>
      </c>
      <c r="J10">
        <v>0.95</v>
      </c>
      <c r="K10" s="5">
        <f t="shared" ref="K10:L11" si="2">C10*$J10</f>
        <v>95</v>
      </c>
      <c r="L10" s="5">
        <f t="shared" si="2"/>
        <v>0</v>
      </c>
    </row>
    <row r="11" spans="2:12" x14ac:dyDescent="0.45">
      <c r="B11">
        <v>2</v>
      </c>
      <c r="C11">
        <v>1000</v>
      </c>
      <c r="D11">
        <v>0</v>
      </c>
      <c r="F11" s="2">
        <f t="shared" si="0"/>
        <v>0.90702947845804982</v>
      </c>
      <c r="G11" s="6">
        <f t="shared" si="1"/>
        <v>907.02947845804977</v>
      </c>
      <c r="H11" s="6">
        <f t="shared" si="1"/>
        <v>0</v>
      </c>
      <c r="J11">
        <v>0.91</v>
      </c>
      <c r="K11" s="5">
        <f t="shared" si="2"/>
        <v>910</v>
      </c>
      <c r="L11" s="5">
        <f t="shared" si="2"/>
        <v>0</v>
      </c>
    </row>
    <row r="12" spans="2:12" x14ac:dyDescent="0.45">
      <c r="K12" s="5">
        <f>SUM(K9:K11)</f>
        <v>1005</v>
      </c>
      <c r="L12" s="5">
        <f>SUM(L9:L11)</f>
        <v>1000</v>
      </c>
    </row>
    <row r="15" spans="2:12" x14ac:dyDescent="0.45">
      <c r="F15" t="s">
        <v>18</v>
      </c>
    </row>
    <row r="18" spans="2:12" x14ac:dyDescent="0.45">
      <c r="F18" t="s">
        <v>17</v>
      </c>
      <c r="G18">
        <v>0.1</v>
      </c>
    </row>
    <row r="20" spans="2:12" x14ac:dyDescent="0.45">
      <c r="B20" t="s">
        <v>14</v>
      </c>
      <c r="C20" t="s">
        <v>15</v>
      </c>
      <c r="D20" t="s">
        <v>16</v>
      </c>
    </row>
    <row r="21" spans="2:12" x14ac:dyDescent="0.45">
      <c r="B21">
        <v>0</v>
      </c>
      <c r="C21">
        <v>0</v>
      </c>
      <c r="D21">
        <v>1000</v>
      </c>
      <c r="F21" s="2">
        <f>1/(1+$G$18)^B21</f>
        <v>1</v>
      </c>
      <c r="G21" s="6">
        <f>C21*$F21</f>
        <v>0</v>
      </c>
      <c r="H21" s="6">
        <f>D21*$F21</f>
        <v>1000</v>
      </c>
      <c r="J21">
        <v>1</v>
      </c>
      <c r="K21" s="5">
        <f>C21*$J21</f>
        <v>0</v>
      </c>
      <c r="L21" s="5">
        <f>D21*$J21</f>
        <v>1000</v>
      </c>
    </row>
    <row r="22" spans="2:12" x14ac:dyDescent="0.45">
      <c r="B22">
        <v>1</v>
      </c>
      <c r="C22">
        <v>100</v>
      </c>
      <c r="D22">
        <v>0</v>
      </c>
      <c r="F22" s="2">
        <f>1/(1+$G$18)^B22</f>
        <v>0.90909090909090906</v>
      </c>
      <c r="G22" s="6">
        <f t="shared" ref="G22:G23" si="3">C22*$F22</f>
        <v>90.909090909090907</v>
      </c>
      <c r="H22" s="6">
        <f t="shared" ref="H22:H23" si="4">D22*$F22</f>
        <v>0</v>
      </c>
      <c r="J22">
        <v>0.91</v>
      </c>
      <c r="K22" s="5">
        <f t="shared" ref="K22:K23" si="5">C22*$J22</f>
        <v>91</v>
      </c>
      <c r="L22" s="5">
        <f t="shared" ref="L22:L23" si="6">D22*$J22</f>
        <v>0</v>
      </c>
    </row>
    <row r="23" spans="2:12" x14ac:dyDescent="0.45">
      <c r="B23">
        <v>2</v>
      </c>
      <c r="C23">
        <v>1000</v>
      </c>
      <c r="D23">
        <v>0</v>
      </c>
      <c r="F23" s="2">
        <f>1/(1+$G$18)^B23</f>
        <v>0.82644628099173545</v>
      </c>
      <c r="G23" s="6">
        <f t="shared" si="3"/>
        <v>826.44628099173542</v>
      </c>
      <c r="H23" s="6">
        <f t="shared" si="4"/>
        <v>0</v>
      </c>
      <c r="J23">
        <v>0.83</v>
      </c>
      <c r="K23" s="5">
        <f t="shared" si="5"/>
        <v>830</v>
      </c>
      <c r="L23" s="5">
        <f t="shared" si="6"/>
        <v>0</v>
      </c>
    </row>
    <row r="24" spans="2:12" x14ac:dyDescent="0.45">
      <c r="K24" s="5">
        <f>SUM(K21:K23)</f>
        <v>921</v>
      </c>
      <c r="L24" s="5">
        <f>SUM(L21:L23)</f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비용편익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2025-11-29T03:37:32Z</dcterms:created>
  <dcterms:modified xsi:type="dcterms:W3CDTF">2025-12-05T08:15:36Z</dcterms:modified>
</cp:coreProperties>
</file>