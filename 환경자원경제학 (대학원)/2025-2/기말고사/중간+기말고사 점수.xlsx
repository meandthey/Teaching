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JobMarket\국립한밭대\2025\[Z] 수업준비\25-2 Environment and Resource Economics\기말고사\"/>
    </mc:Choice>
  </mc:AlternateContent>
  <xr:revisionPtr revIDLastSave="0" documentId="13_ncr:1_{1308F758-9DE5-4892-B75D-6BA5D28665DA}" xr6:coauthVersionLast="47" xr6:coauthVersionMax="47" xr10:uidLastSave="{00000000-0000-0000-0000-000000000000}"/>
  <bookViews>
    <workbookView xWindow="57480" yWindow="-120" windowWidth="38640" windowHeight="21120" xr2:uid="{863BD420-7B2B-4B3B-BE3C-E59F002B1FF7}"/>
  </bookViews>
  <sheets>
    <sheet name="Sheet1" sheetId="1" r:id="rId1"/>
  </sheets>
  <definedNames>
    <definedName name="_xlnm._FilterDatabase" localSheetId="0" hidden="1">Sheet1!$A$37:$K$37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40" i="1"/>
  <c r="D41" i="1"/>
  <c r="D42" i="1"/>
  <c r="D43" i="1"/>
  <c r="D44" i="1"/>
  <c r="D45" i="1"/>
  <c r="D38" i="1"/>
  <c r="J21" i="1"/>
  <c r="K21" i="1" s="1"/>
  <c r="C33" i="1" s="1"/>
  <c r="D33" i="1" s="1"/>
  <c r="J22" i="1"/>
  <c r="K22" i="1" s="1"/>
  <c r="C34" i="1" s="1"/>
  <c r="D34" i="1" s="1"/>
  <c r="J23" i="1"/>
  <c r="K23" i="1" s="1"/>
  <c r="C35" i="1" s="1"/>
  <c r="D35" i="1" s="1"/>
  <c r="J16" i="1"/>
  <c r="K16" i="1" s="1"/>
  <c r="C28" i="1" s="1"/>
  <c r="D28" i="1" s="1"/>
  <c r="H17" i="1"/>
  <c r="J17" i="1" s="1"/>
  <c r="K17" i="1" s="1"/>
  <c r="C29" i="1" s="1"/>
  <c r="D29" i="1" s="1"/>
  <c r="I17" i="1"/>
  <c r="H18" i="1"/>
  <c r="J18" i="1" s="1"/>
  <c r="K18" i="1" s="1"/>
  <c r="C30" i="1" s="1"/>
  <c r="D30" i="1" s="1"/>
  <c r="I18" i="1"/>
  <c r="H19" i="1"/>
  <c r="J19" i="1" s="1"/>
  <c r="K19" i="1" s="1"/>
  <c r="C31" i="1" s="1"/>
  <c r="D31" i="1" s="1"/>
  <c r="I19" i="1"/>
  <c r="H20" i="1"/>
  <c r="J20" i="1" s="1"/>
  <c r="K20" i="1" s="1"/>
  <c r="C32" i="1" s="1"/>
  <c r="D32" i="1" s="1"/>
  <c r="I20" i="1"/>
  <c r="H21" i="1"/>
  <c r="I21" i="1"/>
  <c r="H22" i="1"/>
  <c r="I22" i="1"/>
  <c r="H23" i="1"/>
  <c r="I23" i="1"/>
  <c r="I16" i="1"/>
  <c r="H16" i="1"/>
</calcChain>
</file>

<file path=xl/sharedStrings.xml><?xml version="1.0" encoding="utf-8"?>
<sst xmlns="http://schemas.openxmlformats.org/spreadsheetml/2006/main" count="46" uniqueCount="22">
  <si>
    <t>부니</t>
    <phoneticPr fontId="1" type="noConversion"/>
  </si>
  <si>
    <t>무클리딘</t>
    <phoneticPr fontId="1" type="noConversion"/>
  </si>
  <si>
    <t>잘릴</t>
    <phoneticPr fontId="1" type="noConversion"/>
  </si>
  <si>
    <t>압둨</t>
    <phoneticPr fontId="1" type="noConversion"/>
  </si>
  <si>
    <t>안바르</t>
    <phoneticPr fontId="1" type="noConversion"/>
  </si>
  <si>
    <t>우미다</t>
    <phoneticPr fontId="1" type="noConversion"/>
  </si>
  <si>
    <t>보노</t>
    <phoneticPr fontId="1" type="noConversion"/>
  </si>
  <si>
    <t>골립</t>
    <phoneticPr fontId="1" type="noConversion"/>
  </si>
  <si>
    <t>기말고사(한글</t>
    <phoneticPr fontId="1" type="noConversion"/>
  </si>
  <si>
    <t>기말고사(우즈벡</t>
    <phoneticPr fontId="1" type="noConversion"/>
  </si>
  <si>
    <t>배점(한글)</t>
    <phoneticPr fontId="1" type="noConversion"/>
  </si>
  <si>
    <t>배점(우즈벡)</t>
    <phoneticPr fontId="1" type="noConversion"/>
  </si>
  <si>
    <t>점수</t>
    <phoneticPr fontId="1" type="noConversion"/>
  </si>
  <si>
    <t>총점</t>
    <phoneticPr fontId="1" type="noConversion"/>
  </si>
  <si>
    <t>100점스케일</t>
    <phoneticPr fontId="1" type="noConversion"/>
  </si>
  <si>
    <t>중간</t>
    <phoneticPr fontId="1" type="noConversion"/>
  </si>
  <si>
    <t>기말</t>
    <phoneticPr fontId="1" type="noConversion"/>
  </si>
  <si>
    <t>등수</t>
    <phoneticPr fontId="1" type="noConversion"/>
  </si>
  <si>
    <t>A0</t>
    <phoneticPr fontId="1" type="noConversion"/>
  </si>
  <si>
    <t>B+</t>
    <phoneticPr fontId="1" type="noConversion"/>
  </si>
  <si>
    <t>B0</t>
    <phoneticPr fontId="1" type="noConversion"/>
  </si>
  <si>
    <t>출결 미달로 C+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</si>
</sst>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EE0F-2919-4D94-BDAC-23380174B304}">
  <dimension ref="A15:K45"/>
  <sheetViews>
    <sheetView tabSelected="1" topLeftCell="A13" workbookViewId="0">
      <selection activeCell="O32" sqref="O32"/>
    </sheetView>
  </sheetViews>
  <sheetFormatPr defaultRowHeight="17" x14ac:dyDescent="0.45"/>
  <sheetData>
    <row r="15" spans="1:11" x14ac:dyDescent="0.45">
      <c r="B15" t="s">
        <v>8</v>
      </c>
      <c r="C15" t="s">
        <v>9</v>
      </c>
      <c r="E15" t="s">
        <v>10</v>
      </c>
      <c r="F15" t="s">
        <v>11</v>
      </c>
      <c r="H15" t="s">
        <v>12</v>
      </c>
      <c r="I15" t="s">
        <v>12</v>
      </c>
      <c r="J15" t="s">
        <v>13</v>
      </c>
      <c r="K15" t="s">
        <v>14</v>
      </c>
    </row>
    <row r="16" spans="1:11" x14ac:dyDescent="0.45">
      <c r="A16" t="s">
        <v>0</v>
      </c>
      <c r="B16">
        <v>5</v>
      </c>
      <c r="C16">
        <v>8</v>
      </c>
      <c r="E16">
        <v>5</v>
      </c>
      <c r="F16">
        <v>2.5</v>
      </c>
      <c r="H16">
        <f>B16*E16</f>
        <v>25</v>
      </c>
      <c r="I16">
        <f>C16*F16</f>
        <v>20</v>
      </c>
      <c r="J16">
        <f>SUM(H16:I16)</f>
        <v>45</v>
      </c>
      <c r="K16" s="1">
        <f>J16*100/75</f>
        <v>60</v>
      </c>
    </row>
    <row r="17" spans="1:11" x14ac:dyDescent="0.45">
      <c r="A17" t="s">
        <v>1</v>
      </c>
      <c r="B17">
        <v>3</v>
      </c>
      <c r="C17">
        <v>7</v>
      </c>
      <c r="E17">
        <v>5</v>
      </c>
      <c r="F17">
        <v>2.5</v>
      </c>
      <c r="H17">
        <f t="shared" ref="H17:H23" si="0">B17*E17</f>
        <v>15</v>
      </c>
      <c r="I17">
        <f t="shared" ref="I17:I23" si="1">C17*F17</f>
        <v>17.5</v>
      </c>
      <c r="J17">
        <f t="shared" ref="J17:J23" si="2">SUM(H17:I17)</f>
        <v>32.5</v>
      </c>
      <c r="K17" s="1">
        <f t="shared" ref="K17:K23" si="3">J17*100/75</f>
        <v>43.333333333333336</v>
      </c>
    </row>
    <row r="18" spans="1:11" x14ac:dyDescent="0.45">
      <c r="A18" t="s">
        <v>2</v>
      </c>
      <c r="B18">
        <v>5</v>
      </c>
      <c r="C18">
        <v>5</v>
      </c>
      <c r="E18">
        <v>5</v>
      </c>
      <c r="F18">
        <v>2.5</v>
      </c>
      <c r="H18">
        <f t="shared" si="0"/>
        <v>25</v>
      </c>
      <c r="I18">
        <f t="shared" si="1"/>
        <v>12.5</v>
      </c>
      <c r="J18">
        <f t="shared" si="2"/>
        <v>37.5</v>
      </c>
      <c r="K18" s="1">
        <f t="shared" si="3"/>
        <v>50</v>
      </c>
    </row>
    <row r="19" spans="1:11" x14ac:dyDescent="0.45">
      <c r="A19" t="s">
        <v>3</v>
      </c>
      <c r="B19">
        <v>5</v>
      </c>
      <c r="C19">
        <v>3</v>
      </c>
      <c r="E19">
        <v>5</v>
      </c>
      <c r="F19">
        <v>2.5</v>
      </c>
      <c r="H19">
        <f t="shared" si="0"/>
        <v>25</v>
      </c>
      <c r="I19">
        <f t="shared" si="1"/>
        <v>7.5</v>
      </c>
      <c r="J19">
        <f t="shared" si="2"/>
        <v>32.5</v>
      </c>
      <c r="K19" s="1">
        <f t="shared" si="3"/>
        <v>43.333333333333336</v>
      </c>
    </row>
    <row r="20" spans="1:11" x14ac:dyDescent="0.45">
      <c r="A20" t="s">
        <v>4</v>
      </c>
      <c r="B20">
        <v>3</v>
      </c>
      <c r="C20">
        <v>6</v>
      </c>
      <c r="E20">
        <v>5</v>
      </c>
      <c r="F20">
        <v>2.5</v>
      </c>
      <c r="H20">
        <f t="shared" si="0"/>
        <v>15</v>
      </c>
      <c r="I20">
        <f t="shared" si="1"/>
        <v>15</v>
      </c>
      <c r="J20">
        <f t="shared" si="2"/>
        <v>30</v>
      </c>
      <c r="K20" s="1">
        <f t="shared" si="3"/>
        <v>40</v>
      </c>
    </row>
    <row r="21" spans="1:11" x14ac:dyDescent="0.45">
      <c r="A21" t="s">
        <v>5</v>
      </c>
      <c r="B21">
        <v>5</v>
      </c>
      <c r="C21">
        <v>5</v>
      </c>
      <c r="E21">
        <v>5</v>
      </c>
      <c r="F21">
        <v>2.5</v>
      </c>
      <c r="H21">
        <f t="shared" si="0"/>
        <v>25</v>
      </c>
      <c r="I21">
        <f t="shared" si="1"/>
        <v>12.5</v>
      </c>
      <c r="J21">
        <f t="shared" si="2"/>
        <v>37.5</v>
      </c>
      <c r="K21" s="1">
        <f t="shared" si="3"/>
        <v>50</v>
      </c>
    </row>
    <row r="22" spans="1:11" x14ac:dyDescent="0.45">
      <c r="A22" t="s">
        <v>6</v>
      </c>
      <c r="B22">
        <v>3</v>
      </c>
      <c r="C22">
        <v>5</v>
      </c>
      <c r="E22">
        <v>5</v>
      </c>
      <c r="F22">
        <v>2.5</v>
      </c>
      <c r="H22">
        <f t="shared" si="0"/>
        <v>15</v>
      </c>
      <c r="I22">
        <f t="shared" si="1"/>
        <v>12.5</v>
      </c>
      <c r="J22">
        <f t="shared" si="2"/>
        <v>27.5</v>
      </c>
      <c r="K22" s="1">
        <f t="shared" si="3"/>
        <v>36.666666666666664</v>
      </c>
    </row>
    <row r="23" spans="1:11" x14ac:dyDescent="0.45">
      <c r="A23" t="s">
        <v>7</v>
      </c>
      <c r="B23">
        <v>5</v>
      </c>
      <c r="C23">
        <v>7</v>
      </c>
      <c r="E23">
        <v>5</v>
      </c>
      <c r="F23">
        <v>2.5</v>
      </c>
      <c r="H23">
        <f t="shared" si="0"/>
        <v>25</v>
      </c>
      <c r="I23">
        <f t="shared" si="1"/>
        <v>17.5</v>
      </c>
      <c r="J23">
        <f t="shared" si="2"/>
        <v>42.5</v>
      </c>
      <c r="K23" s="1">
        <f t="shared" si="3"/>
        <v>56.666666666666664</v>
      </c>
    </row>
    <row r="27" spans="1:11" x14ac:dyDescent="0.45">
      <c r="B27" t="s">
        <v>15</v>
      </c>
      <c r="C27" t="s">
        <v>16</v>
      </c>
      <c r="D27" t="s">
        <v>13</v>
      </c>
      <c r="E27" t="s">
        <v>17</v>
      </c>
    </row>
    <row r="28" spans="1:11" x14ac:dyDescent="0.45">
      <c r="A28" t="s">
        <v>0</v>
      </c>
      <c r="B28">
        <v>100</v>
      </c>
      <c r="C28" s="1">
        <f t="shared" ref="C28:C35" si="4">K16</f>
        <v>60</v>
      </c>
      <c r="D28" s="2">
        <f t="shared" ref="D28:D35" si="5">SUM(B28:C28)</f>
        <v>160</v>
      </c>
    </row>
    <row r="29" spans="1:11" x14ac:dyDescent="0.45">
      <c r="A29" t="s">
        <v>1</v>
      </c>
      <c r="B29">
        <v>45</v>
      </c>
      <c r="C29" s="1">
        <f t="shared" si="4"/>
        <v>43.333333333333336</v>
      </c>
      <c r="D29" s="2">
        <f t="shared" si="5"/>
        <v>88.333333333333343</v>
      </c>
    </row>
    <row r="30" spans="1:11" x14ac:dyDescent="0.45">
      <c r="A30" t="s">
        <v>2</v>
      </c>
      <c r="B30">
        <v>50</v>
      </c>
      <c r="C30" s="1">
        <f t="shared" si="4"/>
        <v>50</v>
      </c>
      <c r="D30" s="2">
        <f t="shared" si="5"/>
        <v>100</v>
      </c>
    </row>
    <row r="31" spans="1:11" x14ac:dyDescent="0.45">
      <c r="A31" t="s">
        <v>3</v>
      </c>
      <c r="B31">
        <v>0</v>
      </c>
      <c r="C31" s="1">
        <f t="shared" si="4"/>
        <v>43.333333333333336</v>
      </c>
      <c r="D31" s="2">
        <f t="shared" si="5"/>
        <v>43.333333333333336</v>
      </c>
    </row>
    <row r="32" spans="1:11" x14ac:dyDescent="0.45">
      <c r="A32" t="s">
        <v>4</v>
      </c>
      <c r="B32">
        <v>15</v>
      </c>
      <c r="C32" s="1">
        <f t="shared" si="4"/>
        <v>40</v>
      </c>
      <c r="D32" s="2">
        <f t="shared" si="5"/>
        <v>55</v>
      </c>
    </row>
    <row r="33" spans="1:5" x14ac:dyDescent="0.45">
      <c r="A33" t="s">
        <v>5</v>
      </c>
      <c r="B33">
        <v>34</v>
      </c>
      <c r="C33" s="1">
        <f t="shared" si="4"/>
        <v>50</v>
      </c>
      <c r="D33" s="2">
        <f t="shared" si="5"/>
        <v>84</v>
      </c>
    </row>
    <row r="34" spans="1:5" x14ac:dyDescent="0.45">
      <c r="A34" t="s">
        <v>6</v>
      </c>
      <c r="B34">
        <v>75</v>
      </c>
      <c r="C34" s="1">
        <f t="shared" si="4"/>
        <v>36.666666666666664</v>
      </c>
      <c r="D34" s="2">
        <f t="shared" si="5"/>
        <v>111.66666666666666</v>
      </c>
    </row>
    <row r="35" spans="1:5" x14ac:dyDescent="0.45">
      <c r="A35" t="s">
        <v>7</v>
      </c>
      <c r="B35">
        <v>10</v>
      </c>
      <c r="C35" s="1">
        <f t="shared" si="4"/>
        <v>56.666666666666664</v>
      </c>
      <c r="D35" s="2">
        <f t="shared" si="5"/>
        <v>66.666666666666657</v>
      </c>
    </row>
    <row r="37" spans="1:5" x14ac:dyDescent="0.45">
      <c r="B37" t="s">
        <v>13</v>
      </c>
    </row>
    <row r="38" spans="1:5" x14ac:dyDescent="0.45">
      <c r="A38" t="s">
        <v>0</v>
      </c>
      <c r="B38" s="2">
        <v>160</v>
      </c>
      <c r="C38" t="s">
        <v>18</v>
      </c>
      <c r="D38" s="1">
        <f>B38*(95/160)</f>
        <v>95</v>
      </c>
    </row>
    <row r="39" spans="1:5" x14ac:dyDescent="0.45">
      <c r="A39" t="s">
        <v>6</v>
      </c>
      <c r="B39" s="2">
        <v>111.66666666666666</v>
      </c>
      <c r="C39" t="s">
        <v>19</v>
      </c>
      <c r="D39" s="1">
        <f t="shared" ref="D39:D45" si="6">B39*(95/160)</f>
        <v>66.302083333333329</v>
      </c>
    </row>
    <row r="40" spans="1:5" x14ac:dyDescent="0.45">
      <c r="A40" t="s">
        <v>2</v>
      </c>
      <c r="B40" s="2">
        <v>100</v>
      </c>
      <c r="C40" t="s">
        <v>19</v>
      </c>
      <c r="D40" s="1">
        <f t="shared" si="6"/>
        <v>59.375</v>
      </c>
    </row>
    <row r="41" spans="1:5" x14ac:dyDescent="0.45">
      <c r="A41" t="s">
        <v>1</v>
      </c>
      <c r="B41" s="2">
        <v>88.333333333333343</v>
      </c>
      <c r="C41" t="s">
        <v>19</v>
      </c>
      <c r="D41" s="1">
        <f t="shared" si="6"/>
        <v>52.447916666666671</v>
      </c>
    </row>
    <row r="42" spans="1:5" x14ac:dyDescent="0.45">
      <c r="A42" t="s">
        <v>5</v>
      </c>
      <c r="B42" s="2">
        <v>84</v>
      </c>
      <c r="C42" t="s">
        <v>20</v>
      </c>
      <c r="D42" s="1">
        <f t="shared" si="6"/>
        <v>49.875</v>
      </c>
      <c r="E42" t="s">
        <v>21</v>
      </c>
    </row>
    <row r="43" spans="1:5" x14ac:dyDescent="0.45">
      <c r="A43" t="s">
        <v>7</v>
      </c>
      <c r="B43" s="2">
        <v>66.666666666666657</v>
      </c>
      <c r="C43" t="s">
        <v>20</v>
      </c>
      <c r="D43" s="1">
        <f t="shared" si="6"/>
        <v>39.583333333333329</v>
      </c>
    </row>
    <row r="44" spans="1:5" x14ac:dyDescent="0.45">
      <c r="A44" t="s">
        <v>4</v>
      </c>
      <c r="B44" s="2">
        <v>55</v>
      </c>
      <c r="C44" t="s">
        <v>20</v>
      </c>
      <c r="D44" s="1">
        <f t="shared" si="6"/>
        <v>32.65625</v>
      </c>
    </row>
    <row r="45" spans="1:5" x14ac:dyDescent="0.45">
      <c r="A45" t="s">
        <v>3</v>
      </c>
      <c r="B45" s="2">
        <v>43.333333333333336</v>
      </c>
      <c r="C45" t="s">
        <v>20</v>
      </c>
      <c r="D45" s="1">
        <f t="shared" si="6"/>
        <v>25.729166666666668</v>
      </c>
    </row>
  </sheetData>
  <autoFilter ref="A37:K37" xr:uid="{3299EE0F-2919-4D94-BDAC-23380174B304}">
    <sortState xmlns:xlrd2="http://schemas.microsoft.com/office/spreadsheetml/2017/richdata2" ref="A38:K45">
      <sortCondition descending="1" ref="B3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2025-12-11T01:21:27Z</dcterms:created>
  <dcterms:modified xsi:type="dcterms:W3CDTF">2025-12-18T00:38:50Z</dcterms:modified>
</cp:coreProperties>
</file>