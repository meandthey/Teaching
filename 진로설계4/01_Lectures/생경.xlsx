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6D46E7C7-E977-447A-9918-1F8BB425ACED}" xr6:coauthVersionLast="47" xr6:coauthVersionMax="47" xr10:uidLastSave="{00000000-0000-0000-0000-000000000000}"/>
  <bookViews>
    <workbookView xWindow="57480" yWindow="-120" windowWidth="38640" windowHeight="21120" xr2:uid="{2056FC12-9124-4B66-875B-FD3634D9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R8" i="1"/>
  <c r="R6" i="1"/>
  <c r="P7" i="1"/>
  <c r="P6" i="1"/>
  <c r="K14" i="1"/>
  <c r="K28" i="1"/>
  <c r="K27" i="1"/>
  <c r="K13" i="1"/>
  <c r="G27" i="1"/>
  <c r="B31" i="1"/>
  <c r="B29" i="1"/>
  <c r="G13" i="1"/>
  <c r="B9" i="1"/>
  <c r="B16" i="1"/>
  <c r="K7" i="1"/>
  <c r="K6" i="1"/>
  <c r="K5" i="1"/>
  <c r="G7" i="1"/>
  <c r="G6" i="1"/>
  <c r="G5" i="1"/>
</calcChain>
</file>

<file path=xl/sharedStrings.xml><?xml version="1.0" encoding="utf-8"?>
<sst xmlns="http://schemas.openxmlformats.org/spreadsheetml/2006/main" count="70" uniqueCount="47">
  <si>
    <t>아반떼 연비</t>
    <phoneticPr fontId="1" type="noConversion"/>
  </si>
  <si>
    <t>km/liter</t>
    <phoneticPr fontId="1" type="noConversion"/>
  </si>
  <si>
    <t>대전역 &gt; 부산역 거리</t>
    <phoneticPr fontId="1" type="noConversion"/>
  </si>
  <si>
    <t>km</t>
    <phoneticPr fontId="1" type="noConversion"/>
  </si>
  <si>
    <t>휘발유 가격</t>
    <phoneticPr fontId="1" type="noConversion"/>
  </si>
  <si>
    <t>원/liter</t>
    <phoneticPr fontId="1" type="noConversion"/>
  </si>
  <si>
    <t>연료비</t>
    <phoneticPr fontId="1" type="noConversion"/>
  </si>
  <si>
    <t>(슬라이드 7)</t>
    <phoneticPr fontId="1" type="noConversion"/>
  </si>
  <si>
    <t>원</t>
    <phoneticPr fontId="1" type="noConversion"/>
  </si>
  <si>
    <t>통행료</t>
    <phoneticPr fontId="1" type="noConversion"/>
  </si>
  <si>
    <t>총비용</t>
    <phoneticPr fontId="1" type="noConversion"/>
  </si>
  <si>
    <t>1인당 연료비</t>
    <phoneticPr fontId="1" type="noConversion"/>
  </si>
  <si>
    <t>1인당 통행료</t>
    <phoneticPr fontId="1" type="noConversion"/>
  </si>
  <si>
    <t>1인당 총비용</t>
    <phoneticPr fontId="1" type="noConversion"/>
  </si>
  <si>
    <t>인원</t>
    <phoneticPr fontId="1" type="noConversion"/>
  </si>
  <si>
    <t>명</t>
    <phoneticPr fontId="1" type="noConversion"/>
  </si>
  <si>
    <t>MJ/liter</t>
    <phoneticPr fontId="1" type="noConversion"/>
  </si>
  <si>
    <t>휘발유 발열량</t>
    <phoneticPr fontId="1" type="noConversion"/>
  </si>
  <si>
    <t>휘발유 소비량</t>
    <phoneticPr fontId="1" type="noConversion"/>
  </si>
  <si>
    <t>liter</t>
    <phoneticPr fontId="1" type="noConversion"/>
  </si>
  <si>
    <t>SI 단위계 변환</t>
    <phoneticPr fontId="1" type="noConversion"/>
  </si>
  <si>
    <t>휘발유 배출계수</t>
    <phoneticPr fontId="1" type="noConversion"/>
  </si>
  <si>
    <t>tC/MJ</t>
    <phoneticPr fontId="1" type="noConversion"/>
  </si>
  <si>
    <t>tC/TJ</t>
    <phoneticPr fontId="1" type="noConversion"/>
  </si>
  <si>
    <t>MJ/TJ</t>
    <phoneticPr fontId="1" type="noConversion"/>
  </si>
  <si>
    <t>탄소 배출량</t>
    <phoneticPr fontId="1" type="noConversion"/>
  </si>
  <si>
    <t>tC</t>
    <phoneticPr fontId="1" type="noConversion"/>
  </si>
  <si>
    <t>(슬라이드 16)</t>
    <phoneticPr fontId="1" type="noConversion"/>
  </si>
  <si>
    <t>대전역 &gt; 부산역 운임요금</t>
    <phoneticPr fontId="1" type="noConversion"/>
  </si>
  <si>
    <t>KTX 전비</t>
    <phoneticPr fontId="1" type="noConversion"/>
  </si>
  <si>
    <t>kWh/km</t>
    <phoneticPr fontId="1" type="noConversion"/>
  </si>
  <si>
    <t>전기 소비량</t>
    <phoneticPr fontId="1" type="noConversion"/>
  </si>
  <si>
    <t>kWh</t>
    <phoneticPr fontId="1" type="noConversion"/>
  </si>
  <si>
    <t>kWh/MWh</t>
    <phoneticPr fontId="1" type="noConversion"/>
  </si>
  <si>
    <t>MWh</t>
    <phoneticPr fontId="1" type="noConversion"/>
  </si>
  <si>
    <t>전기 발열량</t>
    <phoneticPr fontId="1" type="noConversion"/>
  </si>
  <si>
    <t>MJ/MWh</t>
    <phoneticPr fontId="1" type="noConversion"/>
  </si>
  <si>
    <t>전기 배출계수</t>
    <phoneticPr fontId="1" type="noConversion"/>
  </si>
  <si>
    <t>(슬라이드 22)</t>
    <phoneticPr fontId="1" type="noConversion"/>
  </si>
  <si>
    <t>1인당 탄소 배출량</t>
    <phoneticPr fontId="1" type="noConversion"/>
  </si>
  <si>
    <t>원/인</t>
    <phoneticPr fontId="1" type="noConversion"/>
  </si>
  <si>
    <t>tC/인</t>
    <phoneticPr fontId="1" type="noConversion"/>
  </si>
  <si>
    <t>KTX 탑승인원</t>
    <phoneticPr fontId="1" type="noConversion"/>
  </si>
  <si>
    <t>kg/인</t>
    <phoneticPr fontId="1" type="noConversion"/>
  </si>
  <si>
    <t>비용(원)</t>
    <phoneticPr fontId="1" type="noConversion"/>
  </si>
  <si>
    <t>소요시간(분)</t>
    <phoneticPr fontId="1" type="noConversion"/>
  </si>
  <si>
    <t>탄소배출량(kg)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</si>
</sst>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0000"/>
    <numFmt numFmtId="181" formatCode="0.000"/>
    <numFmt numFmtId="182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0" fillId="0" borderId="0" xfId="0" applyNumberFormat="1">
      <alignment vertical="center"/>
    </xf>
    <xf numFmtId="2" fontId="0" fillId="2" borderId="0" xfId="0" applyNumberFormat="1" applyFill="1">
      <alignment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7D2F-D056-44FD-94E1-0FE7EFD40D2C}">
  <dimension ref="A4:R35"/>
  <sheetViews>
    <sheetView tabSelected="1" workbookViewId="0">
      <selection activeCell="R6" sqref="R6:R8"/>
    </sheetView>
  </sheetViews>
  <sheetFormatPr defaultRowHeight="17" x14ac:dyDescent="0.45"/>
  <cols>
    <col min="1" max="1" width="25" bestFit="1" customWidth="1"/>
    <col min="2" max="2" width="12.75" bestFit="1" customWidth="1"/>
    <col min="6" max="6" width="12.08203125" bestFit="1" customWidth="1"/>
    <col min="7" max="7" width="11" bestFit="1" customWidth="1"/>
    <col min="10" max="10" width="17.58203125" bestFit="1" customWidth="1"/>
    <col min="15" max="15" width="15.08203125" bestFit="1" customWidth="1"/>
  </cols>
  <sheetData>
    <row r="4" spans="1:18" x14ac:dyDescent="0.45">
      <c r="A4" t="s">
        <v>14</v>
      </c>
      <c r="B4">
        <v>2</v>
      </c>
      <c r="C4" t="s">
        <v>15</v>
      </c>
      <c r="F4" t="s">
        <v>7</v>
      </c>
    </row>
    <row r="5" spans="1:18" x14ac:dyDescent="0.45">
      <c r="A5" t="s">
        <v>2</v>
      </c>
      <c r="B5">
        <v>258</v>
      </c>
      <c r="C5" t="s">
        <v>3</v>
      </c>
      <c r="F5" t="s">
        <v>6</v>
      </c>
      <c r="G5">
        <f>B5*(1/B6)*B7</f>
        <v>34056</v>
      </c>
      <c r="H5" t="s">
        <v>8</v>
      </c>
      <c r="J5" t="s">
        <v>11</v>
      </c>
      <c r="K5">
        <f>G5/B4</f>
        <v>17028</v>
      </c>
      <c r="L5" t="s">
        <v>40</v>
      </c>
    </row>
    <row r="6" spans="1:18" x14ac:dyDescent="0.45">
      <c r="A6" t="s">
        <v>0</v>
      </c>
      <c r="B6">
        <v>15</v>
      </c>
      <c r="C6" t="s">
        <v>1</v>
      </c>
      <c r="F6" t="s">
        <v>9</v>
      </c>
      <c r="G6">
        <f>B8</f>
        <v>14900</v>
      </c>
      <c r="H6" t="s">
        <v>8</v>
      </c>
      <c r="J6" t="s">
        <v>12</v>
      </c>
      <c r="K6">
        <f>G6/B4</f>
        <v>7450</v>
      </c>
      <c r="L6" t="s">
        <v>40</v>
      </c>
      <c r="O6" t="s">
        <v>44</v>
      </c>
      <c r="P6">
        <f>K7</f>
        <v>24478</v>
      </c>
      <c r="Q6">
        <v>36200</v>
      </c>
      <c r="R6" s="4">
        <f>P6/Q6</f>
        <v>0.67618784530386744</v>
      </c>
    </row>
    <row r="7" spans="1:18" x14ac:dyDescent="0.45">
      <c r="A7" t="s">
        <v>4</v>
      </c>
      <c r="B7">
        <v>1980</v>
      </c>
      <c r="C7" t="s">
        <v>5</v>
      </c>
      <c r="F7" t="s">
        <v>10</v>
      </c>
      <c r="G7">
        <f>G5+G6</f>
        <v>48956</v>
      </c>
      <c r="H7" t="s">
        <v>8</v>
      </c>
      <c r="J7" t="s">
        <v>13</v>
      </c>
      <c r="K7" s="7">
        <f>G7/B4</f>
        <v>24478</v>
      </c>
      <c r="L7" t="s">
        <v>40</v>
      </c>
      <c r="O7" t="s">
        <v>46</v>
      </c>
      <c r="P7" s="5">
        <f>K14</f>
        <v>5.4978458400000001</v>
      </c>
      <c r="Q7">
        <v>1.41</v>
      </c>
      <c r="R7" s="4">
        <f t="shared" ref="R7:R8" si="0">P7/Q7</f>
        <v>3.8991814468085111</v>
      </c>
    </row>
    <row r="8" spans="1:18" x14ac:dyDescent="0.45">
      <c r="A8" t="s">
        <v>9</v>
      </c>
      <c r="B8">
        <v>14900</v>
      </c>
      <c r="C8" t="s">
        <v>5</v>
      </c>
      <c r="O8" t="s">
        <v>45</v>
      </c>
      <c r="P8">
        <v>204</v>
      </c>
      <c r="Q8">
        <v>90</v>
      </c>
      <c r="R8" s="4">
        <f t="shared" si="0"/>
        <v>2.2666666666666666</v>
      </c>
    </row>
    <row r="9" spans="1:18" x14ac:dyDescent="0.45">
      <c r="A9" s="1" t="s">
        <v>18</v>
      </c>
      <c r="B9" s="1">
        <f>B5/B6</f>
        <v>17.2</v>
      </c>
      <c r="C9" s="1" t="s">
        <v>19</v>
      </c>
    </row>
    <row r="12" spans="1:18" x14ac:dyDescent="0.45">
      <c r="F12" t="s">
        <v>27</v>
      </c>
    </row>
    <row r="13" spans="1:18" x14ac:dyDescent="0.45">
      <c r="A13" t="s">
        <v>17</v>
      </c>
      <c r="B13">
        <v>32.4</v>
      </c>
      <c r="C13" t="s">
        <v>16</v>
      </c>
      <c r="F13" t="s">
        <v>25</v>
      </c>
      <c r="G13" s="3">
        <f>B9*B13*B16</f>
        <v>1.0995691680000001E-2</v>
      </c>
      <c r="H13" t="s">
        <v>26</v>
      </c>
      <c r="J13" t="s">
        <v>39</v>
      </c>
      <c r="K13" s="2">
        <f>G13/2</f>
        <v>5.4978458400000004E-3</v>
      </c>
      <c r="L13" t="s">
        <v>41</v>
      </c>
    </row>
    <row r="14" spans="1:18" x14ac:dyDescent="0.45">
      <c r="A14" t="s">
        <v>21</v>
      </c>
      <c r="B14">
        <v>19.731000000000002</v>
      </c>
      <c r="C14" t="s">
        <v>23</v>
      </c>
      <c r="K14" s="8">
        <f>K13*1000</f>
        <v>5.4978458400000001</v>
      </c>
      <c r="L14" t="s">
        <v>43</v>
      </c>
    </row>
    <row r="15" spans="1:18" x14ac:dyDescent="0.45">
      <c r="A15" t="s">
        <v>20</v>
      </c>
      <c r="B15">
        <v>1000000</v>
      </c>
      <c r="C15" t="s">
        <v>24</v>
      </c>
    </row>
    <row r="16" spans="1:18" x14ac:dyDescent="0.45">
      <c r="A16" t="s">
        <v>21</v>
      </c>
      <c r="B16">
        <f>B14/B15</f>
        <v>1.9731000000000001E-5</v>
      </c>
      <c r="C16" t="s">
        <v>22</v>
      </c>
    </row>
    <row r="22" spans="1:12" x14ac:dyDescent="0.45">
      <c r="A22" t="s">
        <v>28</v>
      </c>
      <c r="B22">
        <v>36200</v>
      </c>
      <c r="C22" t="s">
        <v>8</v>
      </c>
      <c r="F22" t="s">
        <v>10</v>
      </c>
      <c r="G22">
        <v>36200</v>
      </c>
      <c r="H22" t="s">
        <v>8</v>
      </c>
      <c r="J22" t="s">
        <v>13</v>
      </c>
      <c r="K22" s="1">
        <v>36200</v>
      </c>
      <c r="L22" t="s">
        <v>40</v>
      </c>
    </row>
    <row r="26" spans="1:12" x14ac:dyDescent="0.45">
      <c r="F26" t="s">
        <v>38</v>
      </c>
    </row>
    <row r="27" spans="1:12" x14ac:dyDescent="0.45">
      <c r="A27" t="s">
        <v>2</v>
      </c>
      <c r="B27">
        <v>258</v>
      </c>
      <c r="C27" t="s">
        <v>3</v>
      </c>
      <c r="F27" t="s">
        <v>25</v>
      </c>
      <c r="G27" s="3">
        <f>B31*B33*B34</f>
        <v>0.70559078399999997</v>
      </c>
      <c r="H27" t="s">
        <v>26</v>
      </c>
      <c r="J27" t="s">
        <v>39</v>
      </c>
      <c r="K27" s="2">
        <f>G27/B35</f>
        <v>1.411181568E-3</v>
      </c>
      <c r="L27" t="s">
        <v>41</v>
      </c>
    </row>
    <row r="28" spans="1:12" x14ac:dyDescent="0.45">
      <c r="A28" t="s">
        <v>29</v>
      </c>
      <c r="B28" s="4">
        <v>23.74</v>
      </c>
      <c r="C28" t="s">
        <v>30</v>
      </c>
      <c r="K28" s="6">
        <f>K27*1000</f>
        <v>1.4111815679999999</v>
      </c>
      <c r="L28" t="s">
        <v>43</v>
      </c>
    </row>
    <row r="29" spans="1:12" x14ac:dyDescent="0.45">
      <c r="A29" t="s">
        <v>31</v>
      </c>
      <c r="B29" s="4">
        <f>B27*B28</f>
        <v>6124.9199999999992</v>
      </c>
      <c r="C29" t="s">
        <v>32</v>
      </c>
    </row>
    <row r="30" spans="1:12" x14ac:dyDescent="0.45">
      <c r="A30" t="s">
        <v>20</v>
      </c>
      <c r="B30">
        <v>1000</v>
      </c>
      <c r="C30" t="s">
        <v>33</v>
      </c>
    </row>
    <row r="31" spans="1:12" x14ac:dyDescent="0.45">
      <c r="A31" t="s">
        <v>31</v>
      </c>
      <c r="B31" s="3">
        <f>B29/B30</f>
        <v>6.1249199999999995</v>
      </c>
      <c r="C31" t="s">
        <v>34</v>
      </c>
    </row>
    <row r="33" spans="1:3" x14ac:dyDescent="0.45">
      <c r="A33" t="s">
        <v>35</v>
      </c>
      <c r="B33">
        <v>3600</v>
      </c>
      <c r="C33" t="s">
        <v>36</v>
      </c>
    </row>
    <row r="34" spans="1:3" x14ac:dyDescent="0.45">
      <c r="A34" t="s">
        <v>37</v>
      </c>
      <c r="B34">
        <v>3.1999999999999999E-5</v>
      </c>
      <c r="C34" t="s">
        <v>22</v>
      </c>
    </row>
    <row r="35" spans="1:3" x14ac:dyDescent="0.45">
      <c r="A35" t="s">
        <v>42</v>
      </c>
      <c r="B35">
        <v>500</v>
      </c>
      <c r="C3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2026-04-17T06:05:04Z</dcterms:created>
  <dcterms:modified xsi:type="dcterms:W3CDTF">2026-04-17T07:54:12Z</dcterms:modified>
</cp:coreProperties>
</file>