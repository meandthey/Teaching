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JobMarket\국립한밭대\2025\[Z] 수업준비\25-2 환경경제학\기말고사\"/>
    </mc:Choice>
  </mc:AlternateContent>
  <xr:revisionPtr revIDLastSave="0" documentId="13_ncr:1_{504B54D4-0093-4BC6-9164-FB860DDA3189}" xr6:coauthVersionLast="47" xr6:coauthVersionMax="47" xr10:uidLastSave="{00000000-0000-0000-0000-000000000000}"/>
  <bookViews>
    <workbookView xWindow="57480" yWindow="-120" windowWidth="38640" windowHeight="21120" xr2:uid="{3D0562B9-E6D7-4E0F-A213-AFD7E0267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N17" i="1"/>
  <c r="M17" i="1"/>
  <c r="K17" i="1"/>
  <c r="K15" i="1"/>
  <c r="S11" i="1"/>
  <c r="AB5" i="1"/>
  <c r="AB6" i="1"/>
  <c r="AB4" i="1"/>
  <c r="S4" i="1"/>
  <c r="S5" i="1"/>
  <c r="S6" i="1"/>
  <c r="V3" i="1"/>
  <c r="V4" i="1"/>
  <c r="V5" i="1"/>
  <c r="V6" i="1"/>
  <c r="Y3" i="1"/>
  <c r="Y4" i="1"/>
  <c r="Y5" i="1"/>
  <c r="Y6" i="1"/>
  <c r="AB3" i="1"/>
  <c r="S3" i="1"/>
  <c r="I13" i="1"/>
  <c r="I14" i="1"/>
  <c r="H14" i="1"/>
  <c r="G14" i="1"/>
  <c r="L14" i="1"/>
  <c r="F14" i="1"/>
  <c r="K14" i="1" s="1"/>
  <c r="N13" i="1"/>
  <c r="H13" i="1"/>
  <c r="M13" i="1" s="1"/>
  <c r="G13" i="1"/>
  <c r="L13" i="1" s="1"/>
  <c r="F13" i="1"/>
  <c r="K13" i="1" s="1"/>
  <c r="I7" i="1"/>
  <c r="N7" i="1"/>
  <c r="F7" i="1"/>
  <c r="F8" i="1" s="1"/>
  <c r="F6" i="1"/>
  <c r="K6" i="1" s="1"/>
  <c r="I6" i="1"/>
  <c r="N6" i="1" s="1"/>
  <c r="H7" i="1"/>
  <c r="H6" i="1"/>
  <c r="M6" i="1" s="1"/>
  <c r="G7" i="1"/>
  <c r="G8" i="1" s="1"/>
  <c r="G6" i="1"/>
  <c r="L6" i="1" s="1"/>
  <c r="I8" i="1" l="1"/>
  <c r="H8" i="1"/>
  <c r="L7" i="1"/>
  <c r="L8" i="1" s="1"/>
  <c r="N8" i="1"/>
  <c r="K7" i="1"/>
  <c r="K8" i="1" s="1"/>
  <c r="M7" i="1"/>
  <c r="M8" i="1" s="1"/>
  <c r="L15" i="1"/>
  <c r="M14" i="1"/>
  <c r="M15" i="1" s="1"/>
  <c r="N14" i="1"/>
  <c r="G15" i="1"/>
  <c r="F15" i="1"/>
  <c r="H15" i="1"/>
  <c r="I15" i="1"/>
  <c r="N15" i="1"/>
</calcChain>
</file>

<file path=xl/sharedStrings.xml><?xml version="1.0" encoding="utf-8"?>
<sst xmlns="http://schemas.openxmlformats.org/spreadsheetml/2006/main" count="25" uniqueCount="9">
  <si>
    <t>배출량</t>
    <phoneticPr fontId="2" type="noConversion"/>
  </si>
  <si>
    <t>2000년</t>
    <phoneticPr fontId="2" type="noConversion"/>
  </si>
  <si>
    <t>2020년</t>
    <phoneticPr fontId="2" type="noConversion"/>
  </si>
  <si>
    <t>인구</t>
    <phoneticPr fontId="2" type="noConversion"/>
  </si>
  <si>
    <t>에너지사용량</t>
    <phoneticPr fontId="2" type="noConversion"/>
  </si>
  <si>
    <t>1인당 에너지사용량</t>
    <phoneticPr fontId="2" type="noConversion"/>
  </si>
  <si>
    <t>에너지 집약도</t>
    <phoneticPr fontId="2" type="noConversion"/>
  </si>
  <si>
    <t>배출량의 로그평균</t>
    <phoneticPr fontId="2" type="noConversion"/>
  </si>
  <si>
    <t>문제에서는 ln2를 0.70으로 바꿈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</si>
</sst>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9" fontId="0" fillId="0" borderId="0" xfId="1" applyFont="1">
      <alignment vertical="center"/>
    </xf>
    <xf numFmtId="176" fontId="0" fillId="0" borderId="0" xfId="1" applyNumberFormat="1" applyFont="1">
      <alignment vertical="center"/>
    </xf>
    <xf numFmtId="2" fontId="0" fillId="0" borderId="0" xfId="0" applyNumberFormat="1">
      <alignment vertical="center"/>
    </xf>
    <xf numFmtId="2" fontId="0" fillId="2" borderId="0" xfId="0" applyNumberFormat="1" applyFill="1">
      <alignment vertical="center"/>
    </xf>
    <xf numFmtId="0" fontId="0" fillId="2" borderId="0" xfId="0" applyFill="1">
      <alignment vertical="center"/>
    </xf>
    <xf numFmtId="2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16B6-37C5-443A-AFC2-02E4C281218E}">
  <dimension ref="A3:AB17"/>
  <sheetViews>
    <sheetView tabSelected="1" workbookViewId="0">
      <selection activeCell="H19" sqref="H19"/>
    </sheetView>
  </sheetViews>
  <sheetFormatPr defaultRowHeight="17" x14ac:dyDescent="0.45"/>
  <cols>
    <col min="1" max="1" width="7.33203125" bestFit="1" customWidth="1"/>
    <col min="2" max="2" width="7.08203125" bestFit="1" customWidth="1"/>
    <col min="3" max="3" width="5.25" bestFit="1" customWidth="1"/>
    <col min="4" max="4" width="13" bestFit="1" customWidth="1"/>
    <col min="8" max="8" width="19" bestFit="1" customWidth="1"/>
    <col min="19" max="19" width="12.08203125" bestFit="1" customWidth="1"/>
  </cols>
  <sheetData>
    <row r="3" spans="1:28" x14ac:dyDescent="0.45">
      <c r="R3">
        <v>1</v>
      </c>
      <c r="S3" s="3">
        <f>LN(R3)</f>
        <v>0</v>
      </c>
      <c r="U3">
        <v>2</v>
      </c>
      <c r="V3" s="4">
        <f>LN(U3)</f>
        <v>0.69314718055994529</v>
      </c>
      <c r="X3">
        <v>5</v>
      </c>
      <c r="Y3" s="3">
        <f>LN(X3)</f>
        <v>1.6094379124341003</v>
      </c>
      <c r="AA3">
        <v>6</v>
      </c>
      <c r="AB3" s="3">
        <f>LN(AA3)</f>
        <v>1.791759469228055</v>
      </c>
    </row>
    <row r="4" spans="1:28" x14ac:dyDescent="0.45">
      <c r="R4">
        <v>1.2</v>
      </c>
      <c r="S4" s="3">
        <f t="shared" ref="S4:S15" si="0">LN(R4)</f>
        <v>0.18232155679395459</v>
      </c>
      <c r="U4">
        <v>2.2000000000000002</v>
      </c>
      <c r="V4" s="3">
        <f>LN(U4)</f>
        <v>0.78845736036427028</v>
      </c>
      <c r="X4">
        <v>5.2</v>
      </c>
      <c r="Y4" s="3">
        <f>LN(X4)</f>
        <v>1.6486586255873816</v>
      </c>
      <c r="AA4">
        <v>6.2</v>
      </c>
      <c r="AB4" s="3">
        <f>LN(AA4)</f>
        <v>1.824549292051046</v>
      </c>
    </row>
    <row r="5" spans="1:28" x14ac:dyDescent="0.45">
      <c r="B5" t="s">
        <v>0</v>
      </c>
      <c r="C5" t="s">
        <v>3</v>
      </c>
      <c r="D5" t="s">
        <v>4</v>
      </c>
      <c r="F5" t="s">
        <v>0</v>
      </c>
      <c r="G5" t="s">
        <v>3</v>
      </c>
      <c r="H5" t="s">
        <v>5</v>
      </c>
      <c r="I5" t="s">
        <v>6</v>
      </c>
      <c r="K5" t="s">
        <v>0</v>
      </c>
      <c r="R5">
        <v>1.25</v>
      </c>
      <c r="S5" s="3">
        <f t="shared" si="0"/>
        <v>0.22314355131420976</v>
      </c>
      <c r="U5">
        <v>2.25</v>
      </c>
      <c r="V5" s="3">
        <f>LN(U5)</f>
        <v>0.81093021621632877</v>
      </c>
      <c r="X5">
        <v>5.25</v>
      </c>
      <c r="Y5" s="3">
        <f>LN(X5)</f>
        <v>1.6582280766035324</v>
      </c>
      <c r="AA5">
        <v>6.25</v>
      </c>
      <c r="AB5" s="3">
        <f t="shared" ref="AB5:AB6" si="1">LN(AA5)</f>
        <v>1.8325814637483102</v>
      </c>
    </row>
    <row r="6" spans="1:28" x14ac:dyDescent="0.45">
      <c r="A6" t="s">
        <v>1</v>
      </c>
      <c r="B6">
        <v>40</v>
      </c>
      <c r="C6">
        <v>20</v>
      </c>
      <c r="D6">
        <v>30</v>
      </c>
      <c r="F6">
        <f>B6</f>
        <v>40</v>
      </c>
      <c r="G6">
        <f>C6</f>
        <v>20</v>
      </c>
      <c r="H6">
        <f>D6/C6</f>
        <v>1.5</v>
      </c>
      <c r="I6">
        <f>B6/D6</f>
        <v>1.3333333333333333</v>
      </c>
      <c r="K6" s="3">
        <f>LN(F6)</f>
        <v>3.6888794541139363</v>
      </c>
      <c r="L6" s="3">
        <f t="shared" ref="L6:N7" si="2">LN(G6)</f>
        <v>2.9957322735539909</v>
      </c>
      <c r="M6" s="3">
        <f t="shared" si="2"/>
        <v>0.40546510810816438</v>
      </c>
      <c r="N6" s="3">
        <f t="shared" si="2"/>
        <v>0.28768207245178085</v>
      </c>
      <c r="R6">
        <v>1.5</v>
      </c>
      <c r="S6" s="3">
        <f t="shared" si="0"/>
        <v>0.40546510810816438</v>
      </c>
      <c r="U6">
        <v>2.5</v>
      </c>
      <c r="V6" s="3">
        <f>LN(U6)</f>
        <v>0.91629073187415511</v>
      </c>
      <c r="X6">
        <v>5.5</v>
      </c>
      <c r="Y6" s="3">
        <f>LN(X6)</f>
        <v>1.7047480922384253</v>
      </c>
      <c r="AA6">
        <v>6.5</v>
      </c>
      <c r="AB6" s="3">
        <f t="shared" si="1"/>
        <v>1.8718021769015913</v>
      </c>
    </row>
    <row r="7" spans="1:28" x14ac:dyDescent="0.45">
      <c r="A7" t="s">
        <v>2</v>
      </c>
      <c r="B7">
        <v>50</v>
      </c>
      <c r="C7">
        <v>30</v>
      </c>
      <c r="D7">
        <v>60</v>
      </c>
      <c r="F7">
        <f>B7</f>
        <v>50</v>
      </c>
      <c r="G7">
        <f>C7</f>
        <v>30</v>
      </c>
      <c r="H7">
        <f>D7/C7</f>
        <v>2</v>
      </c>
      <c r="I7">
        <f>B7/D7</f>
        <v>0.83333333333333337</v>
      </c>
      <c r="K7" s="3">
        <f>LN(F7)</f>
        <v>3.912023005428146</v>
      </c>
      <c r="L7" s="3">
        <f t="shared" si="2"/>
        <v>3.4011973816621555</v>
      </c>
      <c r="M7" s="3">
        <f t="shared" si="2"/>
        <v>0.69314718055994529</v>
      </c>
      <c r="N7" s="3">
        <f t="shared" si="2"/>
        <v>-0.18232155679395459</v>
      </c>
    </row>
    <row r="8" spans="1:28" x14ac:dyDescent="0.45">
      <c r="F8" s="1">
        <f>(F7-F6)/F6</f>
        <v>0.25</v>
      </c>
      <c r="G8" s="1">
        <f t="shared" ref="G8:I8" si="3">(G7-G6)/G6</f>
        <v>0.5</v>
      </c>
      <c r="H8" s="1">
        <f t="shared" si="3"/>
        <v>0.33333333333333331</v>
      </c>
      <c r="I8" s="1">
        <f t="shared" si="3"/>
        <v>-0.37499999999999994</v>
      </c>
      <c r="K8" s="2">
        <f>K7-K6</f>
        <v>0.22314355131420971</v>
      </c>
      <c r="L8" s="2">
        <f t="shared" ref="L8:N8" si="4">L7-L6</f>
        <v>0.40546510810816461</v>
      </c>
      <c r="M8" s="2">
        <f t="shared" si="4"/>
        <v>0.2876820724517809</v>
      </c>
      <c r="N8" s="2">
        <f t="shared" si="4"/>
        <v>-0.47000362924573547</v>
      </c>
    </row>
    <row r="11" spans="1:28" x14ac:dyDescent="0.45">
      <c r="R11" t="s">
        <v>7</v>
      </c>
      <c r="S11" s="3">
        <f>(B14-B13)/(LN(F14)-LN(F13))</f>
        <v>5.4848149477470756</v>
      </c>
      <c r="W11" s="5" t="s">
        <v>8</v>
      </c>
    </row>
    <row r="12" spans="1:28" x14ac:dyDescent="0.45">
      <c r="B12" t="s">
        <v>0</v>
      </c>
      <c r="C12" t="s">
        <v>3</v>
      </c>
      <c r="D12" t="s">
        <v>4</v>
      </c>
      <c r="F12" t="s">
        <v>0</v>
      </c>
      <c r="G12" t="s">
        <v>3</v>
      </c>
      <c r="H12" t="s">
        <v>5</v>
      </c>
      <c r="I12" t="s">
        <v>6</v>
      </c>
      <c r="K12" t="s">
        <v>0</v>
      </c>
      <c r="L12" t="s">
        <v>3</v>
      </c>
      <c r="M12" t="s">
        <v>5</v>
      </c>
      <c r="N12" t="s">
        <v>6</v>
      </c>
      <c r="S12">
        <v>5.5</v>
      </c>
    </row>
    <row r="13" spans="1:28" x14ac:dyDescent="0.45">
      <c r="A13" t="s">
        <v>1</v>
      </c>
      <c r="B13">
        <v>5</v>
      </c>
      <c r="C13">
        <v>2</v>
      </c>
      <c r="D13">
        <v>4</v>
      </c>
      <c r="F13" s="3">
        <f>B13</f>
        <v>5</v>
      </c>
      <c r="G13" s="3">
        <f>C13</f>
        <v>2</v>
      </c>
      <c r="H13" s="3">
        <f>D13/C13</f>
        <v>2</v>
      </c>
      <c r="I13" s="3">
        <f>B13/D13</f>
        <v>1.25</v>
      </c>
      <c r="K13" s="3">
        <f>LN(F13)</f>
        <v>1.6094379124341003</v>
      </c>
      <c r="L13" s="4">
        <f t="shared" ref="L13:L14" si="5">LN(G13)</f>
        <v>0.69314718055994529</v>
      </c>
      <c r="M13" s="3">
        <f t="shared" ref="M13:M14" si="6">LN(H13)</f>
        <v>0.69314718055994529</v>
      </c>
      <c r="N13" s="3">
        <f t="shared" ref="N13:N14" si="7">LN(I13)</f>
        <v>0.22314355131420976</v>
      </c>
    </row>
    <row r="14" spans="1:28" x14ac:dyDescent="0.45">
      <c r="A14" t="s">
        <v>2</v>
      </c>
      <c r="B14">
        <v>6</v>
      </c>
      <c r="C14">
        <v>2.5</v>
      </c>
      <c r="D14">
        <v>5</v>
      </c>
      <c r="F14" s="3">
        <f>B14</f>
        <v>6</v>
      </c>
      <c r="G14" s="3">
        <f>C14</f>
        <v>2.5</v>
      </c>
      <c r="H14" s="3">
        <f>D14/C14</f>
        <v>2</v>
      </c>
      <c r="I14" s="3">
        <f>B14/D14</f>
        <v>1.2</v>
      </c>
      <c r="K14" s="3">
        <f>LN(F14)</f>
        <v>1.791759469228055</v>
      </c>
      <c r="L14" s="3">
        <f t="shared" si="5"/>
        <v>0.91629073187415511</v>
      </c>
      <c r="M14" s="3">
        <f t="shared" si="6"/>
        <v>0.69314718055994529</v>
      </c>
      <c r="N14" s="3">
        <f t="shared" si="7"/>
        <v>0.18232155679395459</v>
      </c>
    </row>
    <row r="15" spans="1:28" x14ac:dyDescent="0.45">
      <c r="F15" s="1">
        <f>(F14-F13)/F13</f>
        <v>0.2</v>
      </c>
      <c r="G15" s="1">
        <f>(G14-G13)/G13</f>
        <v>0.25</v>
      </c>
      <c r="H15" s="1">
        <f>(H14-H13)/H13</f>
        <v>0</v>
      </c>
      <c r="I15" s="1">
        <f>(I14-I13)/I13</f>
        <v>-4.0000000000000036E-2</v>
      </c>
      <c r="K15" s="6">
        <f>K14-K13</f>
        <v>0.18232155679395468</v>
      </c>
      <c r="L15" s="6">
        <f>L14-L13</f>
        <v>0.22314355131420982</v>
      </c>
      <c r="M15" s="6">
        <f>M14-M13</f>
        <v>0</v>
      </c>
      <c r="N15" s="6">
        <f>N14-N13</f>
        <v>-4.0821994520255173E-2</v>
      </c>
    </row>
    <row r="16" spans="1:28" x14ac:dyDescent="0.45">
      <c r="F16" s="2"/>
      <c r="G16" s="2"/>
      <c r="H16" s="2"/>
      <c r="I16" s="2"/>
    </row>
    <row r="17" spans="11:14" x14ac:dyDescent="0.45">
      <c r="K17" s="3">
        <f>K15*$S$11</f>
        <v>1</v>
      </c>
      <c r="L17" s="3">
        <f>L15*$S$11</f>
        <v>1.2239010857415447</v>
      </c>
      <c r="M17" s="3">
        <f t="shared" ref="L17:N17" si="8">M15*$S$11</f>
        <v>0</v>
      </c>
      <c r="N17" s="3">
        <f>N15*$S$11</f>
        <v>-0.22390108574154477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2025-12-02T08:01:03Z</dcterms:created>
  <dcterms:modified xsi:type="dcterms:W3CDTF">2025-12-03T01:42:28Z</dcterms:modified>
</cp:coreProperties>
</file>