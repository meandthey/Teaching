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JobMarket\국립한밭대\2025\[Z] 수업준비\25-2 환경경제학\보충자료\"/>
    </mc:Choice>
  </mc:AlternateContent>
  <xr:revisionPtr revIDLastSave="0" documentId="13_ncr:1_{26CD886C-06B4-4105-80A8-914A3ADEE9B6}" xr6:coauthVersionLast="47" xr6:coauthVersionMax="47" xr10:uidLastSave="{00000000-0000-0000-0000-000000000000}"/>
  <bookViews>
    <workbookView xWindow="57480" yWindow="-120" windowWidth="38640" windowHeight="21120" xr2:uid="{F6D38E71-DD14-4AEE-B0C0-7FBB1EA79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K6" i="1"/>
  <c r="O13" i="1"/>
  <c r="O6" i="1"/>
  <c r="O7" i="1"/>
  <c r="O9" i="1"/>
  <c r="O10" i="1"/>
  <c r="O11" i="1"/>
  <c r="O12" i="1"/>
  <c r="O5" i="1"/>
  <c r="K7" i="1"/>
  <c r="K13" i="1" s="1"/>
  <c r="K8" i="1"/>
  <c r="K9" i="1"/>
  <c r="K10" i="1"/>
  <c r="K11" i="1"/>
  <c r="K12" i="1"/>
  <c r="K5" i="1"/>
  <c r="J13" i="1"/>
  <c r="I13" i="1"/>
  <c r="J5" i="1"/>
  <c r="F7" i="1"/>
  <c r="I6" i="1"/>
  <c r="F10" i="1"/>
  <c r="I5" i="1"/>
  <c r="D12" i="1"/>
  <c r="D6" i="1"/>
  <c r="D7" i="1"/>
  <c r="D8" i="1"/>
  <c r="D9" i="1"/>
  <c r="D10" i="1"/>
  <c r="D11" i="1"/>
  <c r="D5" i="1"/>
  <c r="J7" i="1"/>
  <c r="F8" i="1"/>
  <c r="J8" i="1" s="1"/>
  <c r="F9" i="1"/>
  <c r="J9" i="1" s="1"/>
  <c r="J10" i="1"/>
  <c r="F11" i="1"/>
  <c r="J11" i="1" s="1"/>
  <c r="F12" i="1"/>
  <c r="J12" i="1" s="1"/>
  <c r="F6" i="1"/>
  <c r="J6" i="1" s="1"/>
  <c r="I12" i="1" l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<sst xmlns="http://schemas.openxmlformats.org/spreadsheetml/2006/main" count="13" uniqueCount="12">
  <si>
    <t>연도</t>
    <phoneticPr fontId="1" type="noConversion"/>
  </si>
  <si>
    <t>편익</t>
    <phoneticPr fontId="1" type="noConversion"/>
  </si>
  <si>
    <t>비용</t>
    <phoneticPr fontId="1" type="noConversion"/>
  </si>
  <si>
    <t>할인율</t>
    <phoneticPr fontId="1" type="noConversion"/>
  </si>
  <si>
    <t>합계</t>
    <phoneticPr fontId="1" type="noConversion"/>
  </si>
  <si>
    <t>순편익</t>
    <phoneticPr fontId="1" type="noConversion"/>
  </si>
  <si>
    <t>현재가치화된 편익</t>
    <phoneticPr fontId="1" type="noConversion"/>
  </si>
  <si>
    <t>현재가치화된 순편익</t>
    <phoneticPr fontId="1" type="noConversion"/>
  </si>
  <si>
    <t>(1/1+r)^t</t>
    <phoneticPr fontId="1" type="noConversion"/>
  </si>
  <si>
    <t>혹은</t>
    <phoneticPr fontId="1" type="noConversion"/>
  </si>
  <si>
    <t>순편익(D칼럼)에서 바로 할인율 곱하는 방식으로 구해도됩니다.</t>
    <phoneticPr fontId="1" type="noConversion"/>
  </si>
  <si>
    <t>위 계산에 따라서 이 프로젝트가 가져올 순편익을 현재가치화 하면 211원이 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</si>
</sst>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"/>
    <numFmt numFmtId="180" formatCode="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E505-12DA-4AD1-813E-20242FECA9B2}">
  <dimension ref="A2:O15"/>
  <sheetViews>
    <sheetView tabSelected="1" workbookViewId="0">
      <selection activeCell="B16" sqref="B16"/>
    </sheetView>
  </sheetViews>
  <sheetFormatPr defaultRowHeight="17" x14ac:dyDescent="0.45"/>
  <cols>
    <col min="8" max="8" width="5.25" bestFit="1" customWidth="1"/>
    <col min="9" max="10" width="17.83203125" bestFit="1" customWidth="1"/>
    <col min="11" max="11" width="20" bestFit="1" customWidth="1"/>
  </cols>
  <sheetData>
    <row r="2" spans="1:15" x14ac:dyDescent="0.45">
      <c r="A2" t="s">
        <v>3</v>
      </c>
      <c r="B2">
        <v>0.05</v>
      </c>
    </row>
    <row r="4" spans="1:15" x14ac:dyDescent="0.45">
      <c r="A4" t="s">
        <v>0</v>
      </c>
      <c r="B4" t="s">
        <v>1</v>
      </c>
      <c r="C4" t="s">
        <v>2</v>
      </c>
      <c r="D4" t="s">
        <v>5</v>
      </c>
      <c r="F4" t="s">
        <v>8</v>
      </c>
      <c r="I4" t="s">
        <v>6</v>
      </c>
      <c r="J4" t="s">
        <v>6</v>
      </c>
      <c r="K4" t="s">
        <v>7</v>
      </c>
      <c r="M4" t="s">
        <v>9</v>
      </c>
      <c r="O4" t="s">
        <v>10</v>
      </c>
    </row>
    <row r="5" spans="1:15" x14ac:dyDescent="0.45">
      <c r="A5">
        <v>0</v>
      </c>
      <c r="B5">
        <v>0</v>
      </c>
      <c r="C5">
        <v>500</v>
      </c>
      <c r="D5">
        <f>B5-C5</f>
        <v>-500</v>
      </c>
      <c r="F5">
        <v>1</v>
      </c>
      <c r="I5" s="1">
        <f>B5*F5</f>
        <v>0</v>
      </c>
      <c r="J5" s="1">
        <f>C5*F5</f>
        <v>500</v>
      </c>
      <c r="K5" s="2">
        <f>I5-J5</f>
        <v>-500</v>
      </c>
      <c r="O5">
        <f>D5*F5</f>
        <v>-500</v>
      </c>
    </row>
    <row r="6" spans="1:15" x14ac:dyDescent="0.45">
      <c r="A6">
        <v>1</v>
      </c>
      <c r="B6">
        <v>208</v>
      </c>
      <c r="C6">
        <v>1500</v>
      </c>
      <c r="D6">
        <f t="shared" ref="D6:D11" si="0">B6-C6</f>
        <v>-1292</v>
      </c>
      <c r="F6">
        <f>(1/(1+$B$2)^(A6))</f>
        <v>0.95238095238095233</v>
      </c>
      <c r="I6" s="1">
        <f>B6*F6</f>
        <v>198.09523809523807</v>
      </c>
      <c r="J6" s="1">
        <f>C6*F6</f>
        <v>1428.5714285714284</v>
      </c>
      <c r="K6" s="2">
        <f>I6-J6</f>
        <v>-1230.4761904761904</v>
      </c>
      <c r="O6">
        <f t="shared" ref="O6:O12" si="1">D6*F6</f>
        <v>-1230.4761904761904</v>
      </c>
    </row>
    <row r="7" spans="1:15" x14ac:dyDescent="0.45">
      <c r="A7">
        <v>2</v>
      </c>
      <c r="B7">
        <v>801</v>
      </c>
      <c r="C7">
        <v>1400</v>
      </c>
      <c r="D7">
        <f t="shared" si="0"/>
        <v>-599</v>
      </c>
      <c r="F7">
        <f>(1/(1+$B$2)^(A7))</f>
        <v>0.90702947845804982</v>
      </c>
      <c r="I7" s="1">
        <f>B7*F7</f>
        <v>726.53061224489795</v>
      </c>
      <c r="J7" s="1">
        <f>C7*F7</f>
        <v>1269.8412698412696</v>
      </c>
      <c r="K7" s="2">
        <f t="shared" ref="K6:K12" si="2">I7-J7</f>
        <v>-543.3106575963717</v>
      </c>
      <c r="O7">
        <f t="shared" si="1"/>
        <v>-543.31065759637181</v>
      </c>
    </row>
    <row r="8" spans="1:15" x14ac:dyDescent="0.45">
      <c r="A8">
        <v>3</v>
      </c>
      <c r="B8">
        <v>900</v>
      </c>
      <c r="C8">
        <v>700</v>
      </c>
      <c r="D8">
        <f t="shared" si="0"/>
        <v>200</v>
      </c>
      <c r="F8">
        <f>(1/(1+$B$2)^(A8))</f>
        <v>0.86383759853147601</v>
      </c>
      <c r="I8" s="1">
        <f>B8*F8</f>
        <v>777.45383867832845</v>
      </c>
      <c r="J8" s="1">
        <f>C8*F8</f>
        <v>604.68631897203318</v>
      </c>
      <c r="K8" s="2">
        <f t="shared" si="2"/>
        <v>172.76751970629527</v>
      </c>
      <c r="O8">
        <f>D8*F8</f>
        <v>172.76751970629519</v>
      </c>
    </row>
    <row r="9" spans="1:15" x14ac:dyDescent="0.45">
      <c r="A9">
        <v>4</v>
      </c>
      <c r="B9">
        <v>1079</v>
      </c>
      <c r="D9">
        <f t="shared" si="0"/>
        <v>1079</v>
      </c>
      <c r="F9">
        <f>(1/(1+$B$2)^(A9))</f>
        <v>0.82270247479188197</v>
      </c>
      <c r="I9" s="1">
        <f>B9*F9</f>
        <v>887.69597030044065</v>
      </c>
      <c r="J9" s="1">
        <f>C9*F9</f>
        <v>0</v>
      </c>
      <c r="K9" s="2">
        <f t="shared" si="2"/>
        <v>887.69597030044065</v>
      </c>
      <c r="O9">
        <f t="shared" si="1"/>
        <v>887.69597030044065</v>
      </c>
    </row>
    <row r="10" spans="1:15" x14ac:dyDescent="0.45">
      <c r="A10">
        <v>5</v>
      </c>
      <c r="B10">
        <v>1178</v>
      </c>
      <c r="D10">
        <f t="shared" si="0"/>
        <v>1178</v>
      </c>
      <c r="F10">
        <f>(1/(1+$B$2)^(A10))</f>
        <v>0.78352616646845896</v>
      </c>
      <c r="I10" s="1">
        <f>B10*F10</f>
        <v>922.99382409984469</v>
      </c>
      <c r="J10" s="1">
        <f>C10*F10</f>
        <v>0</v>
      </c>
      <c r="K10" s="2">
        <f t="shared" si="2"/>
        <v>922.99382409984469</v>
      </c>
      <c r="O10">
        <f t="shared" si="1"/>
        <v>922.99382409984469</v>
      </c>
    </row>
    <row r="11" spans="1:15" x14ac:dyDescent="0.45">
      <c r="A11">
        <v>6</v>
      </c>
      <c r="B11">
        <v>1148</v>
      </c>
      <c r="D11">
        <f t="shared" si="0"/>
        <v>1148</v>
      </c>
      <c r="F11">
        <f>(1/(1+$B$2)^(A11))</f>
        <v>0.74621539663662761</v>
      </c>
      <c r="I11" s="1">
        <f>B11*F11</f>
        <v>856.65527533884847</v>
      </c>
      <c r="J11" s="1">
        <f>C11*F11</f>
        <v>0</v>
      </c>
      <c r="K11" s="2">
        <f t="shared" si="2"/>
        <v>856.65527533884847</v>
      </c>
      <c r="O11">
        <f t="shared" si="1"/>
        <v>856.65527533884847</v>
      </c>
    </row>
    <row r="12" spans="1:15" x14ac:dyDescent="0.45">
      <c r="A12">
        <v>7</v>
      </c>
      <c r="B12">
        <v>-500</v>
      </c>
      <c r="D12">
        <f>B12-C12</f>
        <v>-500</v>
      </c>
      <c r="F12">
        <f>(1/(1+$B$2)^(A12))</f>
        <v>0.71068133013012147</v>
      </c>
      <c r="I12" s="1">
        <f>B12*F12</f>
        <v>-355.34066506506076</v>
      </c>
      <c r="J12" s="1">
        <f>C12*F12</f>
        <v>0</v>
      </c>
      <c r="K12" s="2">
        <f t="shared" si="2"/>
        <v>-355.34066506506076</v>
      </c>
      <c r="O12">
        <f t="shared" si="1"/>
        <v>-355.34066506506076</v>
      </c>
    </row>
    <row r="13" spans="1:15" x14ac:dyDescent="0.45">
      <c r="H13" t="s">
        <v>4</v>
      </c>
      <c r="I13" s="1">
        <f>SUM(I5:I12)</f>
        <v>4014.0840936925374</v>
      </c>
      <c r="J13" s="1">
        <f t="shared" ref="J13:K13" si="3">SUM(J5:J12)</f>
        <v>3803.0990173847313</v>
      </c>
      <c r="K13" s="1">
        <f>SUM(K5:K12)</f>
        <v>210.98507630780648</v>
      </c>
      <c r="O13" s="1">
        <f>SUM(O5:O12)</f>
        <v>210.98507630780648</v>
      </c>
    </row>
    <row r="15" spans="1:15" x14ac:dyDescent="0.45">
      <c r="B15" s="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2025-11-23T06:54:32Z</dcterms:created>
  <dcterms:modified xsi:type="dcterms:W3CDTF">2025-12-02T02:36:50Z</dcterms:modified>
</cp:coreProperties>
</file>