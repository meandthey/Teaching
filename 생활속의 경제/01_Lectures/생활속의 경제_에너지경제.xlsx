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생활속의 경제\"/>
    </mc:Choice>
  </mc:AlternateContent>
  <xr:revisionPtr revIDLastSave="0" documentId="13_ncr:1_{97056FE2-B1E9-441E-9165-756391956CE9}" xr6:coauthVersionLast="47" xr6:coauthVersionMax="47" xr10:uidLastSave="{00000000-0000-0000-0000-000000000000}"/>
  <bookViews>
    <workbookView xWindow="57480" yWindow="-120" windowWidth="38640" windowHeight="21120" activeTab="2" xr2:uid="{F54B2F44-06BE-4BFE-8C64-D9E3AB5170D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2" i="3"/>
  <c r="B11" i="3"/>
  <c r="B7" i="3"/>
  <c r="H6" i="2"/>
  <c r="C15" i="2"/>
  <c r="C13" i="2"/>
  <c r="H5" i="2"/>
  <c r="C12" i="2"/>
  <c r="C11" i="2"/>
  <c r="C48" i="1"/>
  <c r="C40" i="1"/>
  <c r="C37" i="1"/>
  <c r="H29" i="1"/>
  <c r="F23" i="1"/>
  <c r="F8" i="1"/>
  <c r="F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I23" i="1"/>
  <c r="H27" i="1" s="1"/>
</calcChain>
</file>

<file path=xl/sharedStrings.xml><?xml version="1.0" encoding="utf-8"?>
<sst xmlns="http://schemas.openxmlformats.org/spreadsheetml/2006/main" count="60" uniqueCount="43">
  <si>
    <t>총비용</t>
    <phoneticPr fontId="1" type="noConversion"/>
  </si>
  <si>
    <t>할인율</t>
    <phoneticPr fontId="1" type="noConversion"/>
  </si>
  <si>
    <t>현재가치</t>
    <phoneticPr fontId="1" type="noConversion"/>
  </si>
  <si>
    <t>차량구입비 (CAPEX)</t>
    <phoneticPr fontId="1" type="noConversion"/>
  </si>
  <si>
    <r>
      <t>운영비 (OPEX</t>
    </r>
    <r>
      <rPr>
        <vertAlign val="subscript"/>
        <sz val="11"/>
        <color theme="1"/>
        <rFont val="맑은 고딕"/>
        <family val="3"/>
        <charset val="129"/>
        <scheme val="minor"/>
      </rPr>
      <t>t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</si>
  <si>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주행거리</t>
    <phoneticPr fontId="1" type="noConversion"/>
  </si>
  <si>
    <t>단위비용</t>
    <phoneticPr fontId="1" type="noConversion"/>
  </si>
  <si>
    <t>휘발유가격</t>
    <phoneticPr fontId="1" type="noConversion"/>
  </si>
  <si>
    <t>연비</t>
    <phoneticPr fontId="1" type="noConversion"/>
  </si>
  <si>
    <t>원/liter</t>
    <phoneticPr fontId="1" type="noConversion"/>
  </si>
  <si>
    <t>km/liter</t>
    <phoneticPr fontId="1" type="noConversion"/>
  </si>
  <si>
    <t>km</t>
    <phoneticPr fontId="1" type="noConversion"/>
  </si>
  <si>
    <t>자가용 이용비용</t>
    <phoneticPr fontId="1" type="noConversion"/>
  </si>
  <si>
    <t>연료비용</t>
    <phoneticPr fontId="1" type="noConversion"/>
  </si>
  <si>
    <t>통행료</t>
    <phoneticPr fontId="1" type="noConversion"/>
  </si>
  <si>
    <t>탄소배출량</t>
    <phoneticPr fontId="1" type="noConversion"/>
  </si>
  <si>
    <t>휘발유소비량</t>
    <phoneticPr fontId="1" type="noConversion"/>
  </si>
  <si>
    <t>liter</t>
    <phoneticPr fontId="1" type="noConversion"/>
  </si>
  <si>
    <t>MJ/liter</t>
    <phoneticPr fontId="1" type="noConversion"/>
  </si>
  <si>
    <t>휘발유발열량</t>
    <phoneticPr fontId="1" type="noConversion"/>
  </si>
  <si>
    <t>배출계수</t>
    <phoneticPr fontId="1" type="noConversion"/>
  </si>
  <si>
    <t>tC/MJ</t>
    <phoneticPr fontId="1" type="noConversion"/>
  </si>
  <si>
    <t>MWh</t>
    <phoneticPr fontId="1" type="noConversion"/>
  </si>
  <si>
    <t>MJ</t>
    <phoneticPr fontId="1" type="noConversion"/>
  </si>
  <si>
    <t>kWh/km</t>
    <phoneticPr fontId="1" type="noConversion"/>
  </si>
  <si>
    <t>KTX전력소비</t>
    <phoneticPr fontId="1" type="noConversion"/>
  </si>
  <si>
    <t>kWh</t>
    <phoneticPr fontId="1" type="noConversion"/>
  </si>
  <si>
    <t>전력 탄소배출계수</t>
    <phoneticPr fontId="1" type="noConversion"/>
  </si>
  <si>
    <t>https://tips.energy.or.kr/carbon/Ggas_tatistics03.do</t>
  </si>
  <si>
    <t>tCO2eq./MWh</t>
    <phoneticPr fontId="1" type="noConversion"/>
  </si>
  <si>
    <t>tC/MWh</t>
    <phoneticPr fontId="1" type="noConversion"/>
  </si>
  <si>
    <t>tC</t>
    <phoneticPr fontId="1" type="noConversion"/>
  </si>
  <si>
    <t>버스 탄소배출양</t>
    <phoneticPr fontId="1" type="noConversion"/>
  </si>
  <si>
    <t>거리</t>
    <phoneticPr fontId="1" type="noConversion"/>
  </si>
  <si>
    <t>김형철, '충남 CNG버스 보급에 따른 경제적 효과 검토', 2017.12.18. 현안과제연구 Issue Report</t>
    <phoneticPr fontId="1" type="noConversion"/>
  </si>
  <si>
    <t>에너지소비량</t>
    <phoneticPr fontId="1" type="noConversion"/>
  </si>
  <si>
    <t>발열량</t>
    <phoneticPr fontId="1" type="noConversion"/>
  </si>
  <si>
    <t>kgC</t>
    <phoneticPr fontId="1" type="noConversion"/>
  </si>
  <si>
    <t>1인당 탄소배출량</t>
    <phoneticPr fontId="1" type="noConversion"/>
  </si>
  <si>
    <t>버스승객</t>
    <phoneticPr fontId="1" type="noConversion"/>
  </si>
  <si>
    <t>명</t>
    <phoneticPr fontId="1" type="noConversion"/>
  </si>
  <si>
    <t>tC/인</t>
    <phoneticPr fontId="1" type="noConversion"/>
  </si>
  <si>
    <t>kgC/인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</si>
</sst>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"/>
    <numFmt numFmtId="177" formatCode="0.0000"/>
    <numFmt numFmtId="178" formatCode="0.000"/>
    <numFmt numFmtId="179" formatCode="0.0"/>
    <numFmt numFmtId="188" formatCode="0.000000_);[Red]\(0.00000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219074</xdr:rowOff>
    </xdr:from>
    <xdr:to>
      <xdr:col>18</xdr:col>
      <xdr:colOff>392980</xdr:colOff>
      <xdr:row>13</xdr:row>
      <xdr:rowOff>171449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EA5B553-B009-4A1D-3886-FD8DB261A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3350" y="438149"/>
          <a:ext cx="8279680" cy="2581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3658-B13C-4E78-AF4A-E8F744334A5D}">
  <dimension ref="A2:I48"/>
  <sheetViews>
    <sheetView topLeftCell="A10" workbookViewId="0">
      <selection activeCell="F49" sqref="F49"/>
    </sheetView>
  </sheetViews>
  <sheetFormatPr defaultRowHeight="17" x14ac:dyDescent="0.45"/>
  <cols>
    <col min="2" max="2" width="19.33203125" bestFit="1" customWidth="1"/>
    <col min="3" max="3" width="14.58203125" bestFit="1" customWidth="1"/>
    <col min="4" max="4" width="9.5" bestFit="1" customWidth="1"/>
    <col min="5" max="5" width="11" bestFit="1" customWidth="1"/>
    <col min="6" max="6" width="9.5" bestFit="1" customWidth="1"/>
    <col min="8" max="8" width="11" bestFit="1" customWidth="1"/>
  </cols>
  <sheetData>
    <row r="2" spans="1:9" x14ac:dyDescent="0.45">
      <c r="A2" t="s">
        <v>1</v>
      </c>
      <c r="B2">
        <v>0.05</v>
      </c>
    </row>
    <row r="6" spans="1:9" x14ac:dyDescent="0.45">
      <c r="B6" t="s">
        <v>3</v>
      </c>
      <c r="C6" t="s">
        <v>4</v>
      </c>
      <c r="D6" t="s">
        <v>0</v>
      </c>
      <c r="F6" t="s">
        <v>2</v>
      </c>
      <c r="I6" t="s">
        <v>5</v>
      </c>
    </row>
    <row r="7" spans="1:9" x14ac:dyDescent="0.45">
      <c r="A7">
        <v>0</v>
      </c>
      <c r="B7">
        <v>25000000</v>
      </c>
      <c r="D7">
        <f>SUM(B7:C7)</f>
        <v>25000000</v>
      </c>
      <c r="F7" s="1">
        <f>B7/((1+$B$2)^A7)</f>
        <v>25000000</v>
      </c>
    </row>
    <row r="8" spans="1:9" x14ac:dyDescent="0.45">
      <c r="A8">
        <v>1</v>
      </c>
      <c r="C8">
        <v>1500000</v>
      </c>
      <c r="D8">
        <f t="shared" ref="D8:D22" si="0">SUM(B8:C8)</f>
        <v>1500000</v>
      </c>
      <c r="F8" s="1">
        <f t="shared" ref="F8:F22" si="1">C8/((1+$B$2)^A8)</f>
        <v>1428571.4285714284</v>
      </c>
      <c r="H8">
        <v>1</v>
      </c>
      <c r="I8">
        <v>15000</v>
      </c>
    </row>
    <row r="9" spans="1:9" x14ac:dyDescent="0.45">
      <c r="A9">
        <v>2</v>
      </c>
      <c r="C9">
        <v>1500000</v>
      </c>
      <c r="D9">
        <f t="shared" si="0"/>
        <v>1500000</v>
      </c>
      <c r="F9" s="1">
        <f t="shared" si="1"/>
        <v>1360544.2176870748</v>
      </c>
      <c r="H9">
        <v>2</v>
      </c>
      <c r="I9">
        <v>15000</v>
      </c>
    </row>
    <row r="10" spans="1:9" x14ac:dyDescent="0.45">
      <c r="A10">
        <v>3</v>
      </c>
      <c r="C10">
        <v>1500000</v>
      </c>
      <c r="D10">
        <f t="shared" si="0"/>
        <v>1500000</v>
      </c>
      <c r="F10" s="1">
        <f t="shared" si="1"/>
        <v>1295756.3977972139</v>
      </c>
      <c r="H10">
        <v>3</v>
      </c>
      <c r="I10">
        <v>15000</v>
      </c>
    </row>
    <row r="11" spans="1:9" x14ac:dyDescent="0.45">
      <c r="A11">
        <v>4</v>
      </c>
      <c r="C11">
        <v>1500000</v>
      </c>
      <c r="D11">
        <f t="shared" si="0"/>
        <v>1500000</v>
      </c>
      <c r="F11" s="1">
        <f t="shared" si="1"/>
        <v>1234053.7121878229</v>
      </c>
      <c r="H11">
        <v>4</v>
      </c>
      <c r="I11">
        <v>15000</v>
      </c>
    </row>
    <row r="12" spans="1:9" x14ac:dyDescent="0.45">
      <c r="A12">
        <v>5</v>
      </c>
      <c r="C12">
        <v>1500000</v>
      </c>
      <c r="D12">
        <f t="shared" si="0"/>
        <v>1500000</v>
      </c>
      <c r="F12" s="1">
        <f t="shared" si="1"/>
        <v>1175289.2497026885</v>
      </c>
      <c r="H12">
        <v>5</v>
      </c>
      <c r="I12">
        <v>15000</v>
      </c>
    </row>
    <row r="13" spans="1:9" x14ac:dyDescent="0.45">
      <c r="A13">
        <v>6</v>
      </c>
      <c r="C13">
        <v>1500000</v>
      </c>
      <c r="D13">
        <f t="shared" si="0"/>
        <v>1500000</v>
      </c>
      <c r="F13" s="1">
        <f t="shared" si="1"/>
        <v>1119323.0949549414</v>
      </c>
      <c r="H13">
        <v>6</v>
      </c>
      <c r="I13">
        <v>15000</v>
      </c>
    </row>
    <row r="14" spans="1:9" x14ac:dyDescent="0.45">
      <c r="A14">
        <v>7</v>
      </c>
      <c r="C14">
        <v>1500000</v>
      </c>
      <c r="D14">
        <f t="shared" si="0"/>
        <v>1500000</v>
      </c>
      <c r="F14" s="1">
        <f t="shared" si="1"/>
        <v>1066021.9951951823</v>
      </c>
      <c r="H14">
        <v>7</v>
      </c>
      <c r="I14">
        <v>15000</v>
      </c>
    </row>
    <row r="15" spans="1:9" x14ac:dyDescent="0.45">
      <c r="A15">
        <v>8</v>
      </c>
      <c r="C15">
        <v>1500000</v>
      </c>
      <c r="D15">
        <f t="shared" si="0"/>
        <v>1500000</v>
      </c>
      <c r="F15" s="1">
        <f t="shared" si="1"/>
        <v>1015259.0430430308</v>
      </c>
      <c r="H15">
        <v>8</v>
      </c>
      <c r="I15">
        <v>15000</v>
      </c>
    </row>
    <row r="16" spans="1:9" x14ac:dyDescent="0.45">
      <c r="A16">
        <v>9</v>
      </c>
      <c r="C16">
        <v>1500000</v>
      </c>
      <c r="D16">
        <f t="shared" si="0"/>
        <v>1500000</v>
      </c>
      <c r="F16" s="1">
        <f t="shared" si="1"/>
        <v>966913.37432669592</v>
      </c>
      <c r="H16">
        <v>9</v>
      </c>
      <c r="I16">
        <v>15000</v>
      </c>
    </row>
    <row r="17" spans="1:9" x14ac:dyDescent="0.45">
      <c r="A17">
        <v>10</v>
      </c>
      <c r="C17">
        <v>1500000</v>
      </c>
      <c r="D17">
        <f t="shared" si="0"/>
        <v>1500000</v>
      </c>
      <c r="F17" s="1">
        <f t="shared" si="1"/>
        <v>920869.88031113893</v>
      </c>
      <c r="H17">
        <v>10</v>
      </c>
      <c r="I17">
        <v>15000</v>
      </c>
    </row>
    <row r="18" spans="1:9" x14ac:dyDescent="0.45">
      <c r="A18">
        <v>11</v>
      </c>
      <c r="C18">
        <v>1500000</v>
      </c>
      <c r="D18">
        <f t="shared" si="0"/>
        <v>1500000</v>
      </c>
      <c r="F18" s="1">
        <f t="shared" si="1"/>
        <v>877018.93362965609</v>
      </c>
      <c r="H18">
        <v>11</v>
      </c>
      <c r="I18">
        <v>15000</v>
      </c>
    </row>
    <row r="19" spans="1:9" x14ac:dyDescent="0.45">
      <c r="A19">
        <v>12</v>
      </c>
      <c r="C19">
        <v>1500000</v>
      </c>
      <c r="D19">
        <f t="shared" si="0"/>
        <v>1500000</v>
      </c>
      <c r="F19" s="1">
        <f t="shared" si="1"/>
        <v>835256.12726633926</v>
      </c>
      <c r="H19">
        <v>12</v>
      </c>
      <c r="I19">
        <v>15000</v>
      </c>
    </row>
    <row r="20" spans="1:9" x14ac:dyDescent="0.45">
      <c r="A20">
        <v>13</v>
      </c>
      <c r="C20">
        <v>1500000</v>
      </c>
      <c r="D20">
        <f t="shared" si="0"/>
        <v>1500000</v>
      </c>
      <c r="F20" s="1">
        <f t="shared" si="1"/>
        <v>795482.02596794197</v>
      </c>
      <c r="H20">
        <v>13</v>
      </c>
      <c r="I20">
        <v>15000</v>
      </c>
    </row>
    <row r="21" spans="1:9" x14ac:dyDescent="0.45">
      <c r="A21">
        <v>14</v>
      </c>
      <c r="C21">
        <v>1500000</v>
      </c>
      <c r="D21">
        <f t="shared" si="0"/>
        <v>1500000</v>
      </c>
      <c r="F21" s="1">
        <f t="shared" si="1"/>
        <v>757601.92949327826</v>
      </c>
      <c r="H21">
        <v>14</v>
      </c>
      <c r="I21">
        <v>15000</v>
      </c>
    </row>
    <row r="22" spans="1:9" x14ac:dyDescent="0.45">
      <c r="A22">
        <v>15</v>
      </c>
      <c r="C22">
        <v>1500000</v>
      </c>
      <c r="D22">
        <f t="shared" si="0"/>
        <v>1500000</v>
      </c>
      <c r="F22" s="1">
        <f t="shared" si="1"/>
        <v>721525.64713645529</v>
      </c>
      <c r="H22">
        <v>15</v>
      </c>
      <c r="I22">
        <v>15000</v>
      </c>
    </row>
    <row r="23" spans="1:9" x14ac:dyDescent="0.45">
      <c r="F23" s="1">
        <f>SUM(F7:F22)</f>
        <v>40569487.057270892</v>
      </c>
      <c r="I23">
        <f>SUM(I8:I22)</f>
        <v>225000</v>
      </c>
    </row>
    <row r="27" spans="1:9" x14ac:dyDescent="0.45">
      <c r="G27" t="s">
        <v>6</v>
      </c>
      <c r="H27" s="1">
        <f>F23/I23</f>
        <v>180.30883136564842</v>
      </c>
    </row>
    <row r="28" spans="1:9" x14ac:dyDescent="0.45">
      <c r="G28" t="s">
        <v>5</v>
      </c>
      <c r="H28">
        <v>284</v>
      </c>
    </row>
    <row r="29" spans="1:9" x14ac:dyDescent="0.45">
      <c r="G29" t="s">
        <v>12</v>
      </c>
      <c r="H29" s="2">
        <f>H27*H28</f>
        <v>51207.708107844148</v>
      </c>
    </row>
    <row r="34" spans="1:4" x14ac:dyDescent="0.45">
      <c r="B34" t="s">
        <v>7</v>
      </c>
      <c r="C34">
        <v>1787</v>
      </c>
      <c r="D34" t="s">
        <v>9</v>
      </c>
    </row>
    <row r="35" spans="1:4" x14ac:dyDescent="0.45">
      <c r="B35" t="s">
        <v>8</v>
      </c>
      <c r="C35">
        <v>15</v>
      </c>
      <c r="D35" t="s">
        <v>10</v>
      </c>
    </row>
    <row r="36" spans="1:4" x14ac:dyDescent="0.45">
      <c r="B36" t="s">
        <v>5</v>
      </c>
      <c r="C36">
        <v>284</v>
      </c>
      <c r="D36" t="s">
        <v>11</v>
      </c>
    </row>
    <row r="37" spans="1:4" x14ac:dyDescent="0.45">
      <c r="B37" t="s">
        <v>13</v>
      </c>
      <c r="C37" s="1">
        <f>C34*(1/C35)*C36</f>
        <v>33833.866666666661</v>
      </c>
    </row>
    <row r="38" spans="1:4" x14ac:dyDescent="0.45">
      <c r="B38" t="s">
        <v>14</v>
      </c>
      <c r="C38">
        <v>15300</v>
      </c>
    </row>
    <row r="40" spans="1:4" x14ac:dyDescent="0.45">
      <c r="B40" t="s">
        <v>0</v>
      </c>
      <c r="C40" s="1">
        <f>SUM(H29,C37,C38)</f>
        <v>100341.57477451081</v>
      </c>
    </row>
    <row r="44" spans="1:4" x14ac:dyDescent="0.45">
      <c r="A44" t="s">
        <v>15</v>
      </c>
    </row>
    <row r="45" spans="1:4" x14ac:dyDescent="0.45">
      <c r="B45" t="s">
        <v>16</v>
      </c>
      <c r="C45">
        <v>18.899999999999999</v>
      </c>
      <c r="D45" t="s">
        <v>17</v>
      </c>
    </row>
    <row r="46" spans="1:4" x14ac:dyDescent="0.45">
      <c r="B46" t="s">
        <v>19</v>
      </c>
      <c r="C46">
        <v>32.4</v>
      </c>
      <c r="D46" t="s">
        <v>18</v>
      </c>
    </row>
    <row r="47" spans="1:4" x14ac:dyDescent="0.45">
      <c r="B47" t="s">
        <v>20</v>
      </c>
      <c r="C47">
        <v>1.9730999999999999E-2</v>
      </c>
      <c r="D47" t="s">
        <v>21</v>
      </c>
    </row>
    <row r="48" spans="1:4" x14ac:dyDescent="0.45">
      <c r="C48">
        <f>C45*C46*C47</f>
        <v>12.082475159999998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1E91-8344-47F1-8923-68E668F59321}">
  <dimension ref="B1:I15"/>
  <sheetViews>
    <sheetView zoomScaleNormal="100" workbookViewId="0">
      <selection activeCell="I38" sqref="I38"/>
    </sheetView>
  </sheetViews>
  <sheetFormatPr defaultRowHeight="17" x14ac:dyDescent="0.45"/>
  <cols>
    <col min="7" max="7" width="13" bestFit="1" customWidth="1"/>
    <col min="8" max="8" width="13.08203125" bestFit="1" customWidth="1"/>
  </cols>
  <sheetData>
    <row r="1" spans="2:9" x14ac:dyDescent="0.45">
      <c r="G1" t="s">
        <v>28</v>
      </c>
    </row>
    <row r="4" spans="2:9" x14ac:dyDescent="0.45">
      <c r="B4" t="s">
        <v>22</v>
      </c>
      <c r="C4">
        <v>1</v>
      </c>
      <c r="G4" t="s">
        <v>27</v>
      </c>
      <c r="H4" s="5">
        <v>0.4173</v>
      </c>
      <c r="I4" t="s">
        <v>29</v>
      </c>
    </row>
    <row r="5" spans="2:9" x14ac:dyDescent="0.45">
      <c r="B5" t="s">
        <v>23</v>
      </c>
      <c r="C5">
        <v>3600</v>
      </c>
      <c r="H5" s="5">
        <f>H4*(12/44)</f>
        <v>0.1138090909090909</v>
      </c>
      <c r="I5" t="s">
        <v>30</v>
      </c>
    </row>
    <row r="6" spans="2:9" x14ac:dyDescent="0.45">
      <c r="H6" s="7">
        <f>H5/C5</f>
        <v>3.1613636363636364E-5</v>
      </c>
      <c r="I6" t="s">
        <v>21</v>
      </c>
    </row>
    <row r="9" spans="2:9" x14ac:dyDescent="0.45">
      <c r="B9" t="s">
        <v>25</v>
      </c>
      <c r="C9">
        <v>23.74</v>
      </c>
      <c r="D9" t="s">
        <v>24</v>
      </c>
    </row>
    <row r="10" spans="2:9" x14ac:dyDescent="0.45">
      <c r="C10">
        <v>258</v>
      </c>
      <c r="D10" t="s">
        <v>11</v>
      </c>
    </row>
    <row r="11" spans="2:9" x14ac:dyDescent="0.45">
      <c r="C11" s="1">
        <f>C9*C10</f>
        <v>6124.9199999999992</v>
      </c>
      <c r="D11" t="s">
        <v>26</v>
      </c>
    </row>
    <row r="12" spans="2:9" x14ac:dyDescent="0.45">
      <c r="C12" s="1">
        <f>C11/1000</f>
        <v>6.1249199999999995</v>
      </c>
      <c r="D12" t="s">
        <v>22</v>
      </c>
    </row>
    <row r="13" spans="2:9" x14ac:dyDescent="0.45">
      <c r="C13">
        <f>C12*C5</f>
        <v>22049.712</v>
      </c>
      <c r="D13" t="s">
        <v>23</v>
      </c>
    </row>
    <row r="14" spans="2:9" x14ac:dyDescent="0.45">
      <c r="C14">
        <v>0.114</v>
      </c>
      <c r="D14" t="s">
        <v>21</v>
      </c>
    </row>
    <row r="15" spans="2:9" x14ac:dyDescent="0.45">
      <c r="C15">
        <f>C13*C14</f>
        <v>2513.6671679999999</v>
      </c>
      <c r="D15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8708-5D2A-49EA-B5AD-AA7529CE9936}">
  <dimension ref="A2:G18"/>
  <sheetViews>
    <sheetView tabSelected="1" workbookViewId="0">
      <selection activeCell="X6" sqref="X6"/>
    </sheetView>
  </sheetViews>
  <sheetFormatPr defaultRowHeight="17" x14ac:dyDescent="0.45"/>
  <cols>
    <col min="1" max="1" width="15.83203125" bestFit="1" customWidth="1"/>
    <col min="2" max="2" width="11.58203125" bestFit="1" customWidth="1"/>
  </cols>
  <sheetData>
    <row r="2" spans="1:3" x14ac:dyDescent="0.45">
      <c r="A2" t="s">
        <v>32</v>
      </c>
    </row>
    <row r="4" spans="1:3" x14ac:dyDescent="0.45">
      <c r="A4" t="s">
        <v>33</v>
      </c>
      <c r="B4">
        <v>17</v>
      </c>
      <c r="C4" t="s">
        <v>11</v>
      </c>
    </row>
    <row r="5" spans="1:3" x14ac:dyDescent="0.45">
      <c r="A5" t="s">
        <v>8</v>
      </c>
      <c r="B5">
        <v>2.4900000000000002</v>
      </c>
      <c r="C5" t="s">
        <v>10</v>
      </c>
    </row>
    <row r="7" spans="1:3" x14ac:dyDescent="0.45">
      <c r="A7" t="s">
        <v>35</v>
      </c>
      <c r="B7" s="6">
        <f>B4/B5</f>
        <v>6.8273092369477908</v>
      </c>
      <c r="C7" t="s">
        <v>17</v>
      </c>
    </row>
    <row r="8" spans="1:3" x14ac:dyDescent="0.45">
      <c r="A8" t="s">
        <v>36</v>
      </c>
      <c r="B8">
        <v>37.799999999999997</v>
      </c>
      <c r="C8" t="s">
        <v>18</v>
      </c>
    </row>
    <row r="9" spans="1:3" x14ac:dyDescent="0.45">
      <c r="A9" t="s">
        <v>20</v>
      </c>
      <c r="B9">
        <v>2.0089999999999999E-5</v>
      </c>
      <c r="C9" t="s">
        <v>21</v>
      </c>
    </row>
    <row r="11" spans="1:3" x14ac:dyDescent="0.45">
      <c r="A11" t="s">
        <v>15</v>
      </c>
      <c r="B11" s="4">
        <f>B7*B8*B9</f>
        <v>5.1846722891566261E-3</v>
      </c>
      <c r="C11" t="s">
        <v>31</v>
      </c>
    </row>
    <row r="12" spans="1:3" x14ac:dyDescent="0.45">
      <c r="B12" s="6">
        <f>B11*1000</f>
        <v>5.1846722891566257</v>
      </c>
      <c r="C12" t="s">
        <v>37</v>
      </c>
    </row>
    <row r="14" spans="1:3" x14ac:dyDescent="0.45">
      <c r="A14" t="s">
        <v>39</v>
      </c>
      <c r="B14">
        <v>10</v>
      </c>
      <c r="C14" t="s">
        <v>40</v>
      </c>
    </row>
    <row r="17" spans="1:7" x14ac:dyDescent="0.45">
      <c r="A17" t="s">
        <v>38</v>
      </c>
      <c r="B17" s="3">
        <f>B11/B14</f>
        <v>5.1846722891566257E-4</v>
      </c>
      <c r="C17" t="s">
        <v>41</v>
      </c>
      <c r="G17" t="s">
        <v>34</v>
      </c>
    </row>
    <row r="18" spans="1:7" x14ac:dyDescent="0.45">
      <c r="B18" s="3">
        <f>B12/B14</f>
        <v>0.51846722891566255</v>
      </c>
      <c r="C18" t="s">
        <v>42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2026-03-24T02:01:04Z</dcterms:created>
  <dcterms:modified xsi:type="dcterms:W3CDTF">2026-03-25T08:54:17Z</dcterms:modified>
</cp:coreProperties>
</file>