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esktop\"/>
    </mc:Choice>
  </mc:AlternateContent>
  <xr:revisionPtr revIDLastSave="0" documentId="13_ncr:1_{2E23C77E-5AD6-4F2A-BE10-709A462D2163}" xr6:coauthVersionLast="47" xr6:coauthVersionMax="47" xr10:uidLastSave="{00000000-0000-0000-0000-000000000000}"/>
  <bookViews>
    <workbookView xWindow="57480" yWindow="-120" windowWidth="38640" windowHeight="21120" xr2:uid="{1B320A47-02F4-4E07-8778-C60AE7FB95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1" l="1"/>
  <c r="K53" i="1"/>
  <c r="E53" i="1"/>
  <c r="F53" i="1"/>
  <c r="G53" i="1"/>
  <c r="H53" i="1"/>
  <c r="I53" i="1"/>
  <c r="L53" i="1"/>
  <c r="M53" i="1"/>
  <c r="N53" i="1"/>
  <c r="O53" i="1"/>
  <c r="P53" i="1"/>
  <c r="Q53" i="1"/>
  <c r="D53" i="1"/>
</calcChain>
</file>

<file path=xl/sharedStrings.xml><?xml version="1.0" encoding="utf-8"?>
<sst xmlns="http://schemas.openxmlformats.org/spreadsheetml/2006/main" count="59" uniqueCount="45">
  <si>
    <t>2. 원유 수급 Crude Oil Demand and Supply</t>
    <phoneticPr fontId="3" type="noConversion"/>
  </si>
  <si>
    <t>2-1. 국별 원유 수입 Crude Oil Imports by Country</t>
    <phoneticPr fontId="3" type="noConversion"/>
  </si>
  <si>
    <t>단위: 천 배럴</t>
    <phoneticPr fontId="3" type="noConversion"/>
  </si>
  <si>
    <t>Unit: Thousand barrels</t>
    <phoneticPr fontId="3" type="noConversion"/>
  </si>
  <si>
    <t>합계</t>
    <phoneticPr fontId="3" type="noConversion"/>
  </si>
  <si>
    <t>중동</t>
    <phoneticPr fontId="3" type="noConversion"/>
  </si>
  <si>
    <t>아시아</t>
    <phoneticPr fontId="3" type="noConversion"/>
  </si>
  <si>
    <t>아프리카</t>
    <phoneticPr fontId="3" type="noConversion"/>
  </si>
  <si>
    <t>아메리카</t>
    <phoneticPr fontId="3" type="noConversion"/>
  </si>
  <si>
    <t>유럽</t>
    <phoneticPr fontId="3" type="noConversion"/>
  </si>
  <si>
    <r>
      <t>중동의존도</t>
    </r>
    <r>
      <rPr>
        <vertAlign val="superscript"/>
        <sz val="8"/>
        <rFont val="맑은 고딕"/>
        <family val="3"/>
        <charset val="129"/>
        <scheme val="minor"/>
      </rPr>
      <t>1</t>
    </r>
    <r>
      <rPr>
        <sz val="8"/>
        <rFont val="맑은 고딕"/>
        <family val="3"/>
        <charset val="129"/>
        <scheme val="minor"/>
      </rPr>
      <t>(%)</t>
    </r>
    <phoneticPr fontId="3" type="noConversion"/>
  </si>
  <si>
    <t xml:space="preserve">Total </t>
    <phoneticPr fontId="3" type="noConversion"/>
  </si>
  <si>
    <t>Middle East</t>
    <phoneticPr fontId="3" type="noConversion"/>
  </si>
  <si>
    <t>사우디아라비아</t>
    <phoneticPr fontId="3" type="noConversion"/>
  </si>
  <si>
    <t>아랍에미레이트</t>
    <phoneticPr fontId="3" type="noConversion"/>
  </si>
  <si>
    <t>이란</t>
    <phoneticPr fontId="3" type="noConversion"/>
  </si>
  <si>
    <t>쿠웨이트</t>
    <phoneticPr fontId="3" type="noConversion"/>
  </si>
  <si>
    <t>오만</t>
    <phoneticPr fontId="3" type="noConversion"/>
  </si>
  <si>
    <t>카타르</t>
    <phoneticPr fontId="3" type="noConversion"/>
  </si>
  <si>
    <t xml:space="preserve">Asia </t>
    <phoneticPr fontId="3" type="noConversion"/>
  </si>
  <si>
    <t>인도네시아</t>
    <phoneticPr fontId="3" type="noConversion"/>
  </si>
  <si>
    <t>말레이시아</t>
    <phoneticPr fontId="3" type="noConversion"/>
  </si>
  <si>
    <t>호주</t>
    <phoneticPr fontId="3" type="noConversion"/>
  </si>
  <si>
    <t>브루나이</t>
    <phoneticPr fontId="3" type="noConversion"/>
  </si>
  <si>
    <t>Africa</t>
    <phoneticPr fontId="3" type="noConversion"/>
  </si>
  <si>
    <t>America</t>
    <phoneticPr fontId="3" type="noConversion"/>
  </si>
  <si>
    <t>Europe</t>
    <phoneticPr fontId="3" type="noConversion"/>
  </si>
  <si>
    <r>
      <t>Dependence on Middle East</t>
    </r>
    <r>
      <rPr>
        <vertAlign val="superscript"/>
        <sz val="8"/>
        <rFont val="맑은 고딕"/>
        <family val="3"/>
        <charset val="129"/>
        <scheme val="minor"/>
      </rPr>
      <t>1</t>
    </r>
    <phoneticPr fontId="3" type="noConversion"/>
  </si>
  <si>
    <t>(A)</t>
    <phoneticPr fontId="3" type="noConversion"/>
  </si>
  <si>
    <t>(B)</t>
    <phoneticPr fontId="3" type="noConversion"/>
  </si>
  <si>
    <t>Saudi Arabia</t>
    <phoneticPr fontId="3" type="noConversion"/>
  </si>
  <si>
    <t>U.A.E</t>
    <phoneticPr fontId="3" type="noConversion"/>
  </si>
  <si>
    <t>Iran</t>
    <phoneticPr fontId="3" type="noConversion"/>
  </si>
  <si>
    <t>Kuwait</t>
    <phoneticPr fontId="3" type="noConversion"/>
  </si>
  <si>
    <t>Oman</t>
    <phoneticPr fontId="3" type="noConversion"/>
  </si>
  <si>
    <t>Qatar</t>
    <phoneticPr fontId="3" type="noConversion"/>
  </si>
  <si>
    <t>Indonesia</t>
    <phoneticPr fontId="3" type="noConversion"/>
  </si>
  <si>
    <t>Malaysia</t>
    <phoneticPr fontId="3" type="noConversion"/>
  </si>
  <si>
    <t>Australia</t>
    <phoneticPr fontId="3" type="noConversion"/>
  </si>
  <si>
    <t>Brunei</t>
    <phoneticPr fontId="3" type="noConversion"/>
  </si>
  <si>
    <t>(B/A)</t>
    <phoneticPr fontId="3" type="noConversion"/>
  </si>
  <si>
    <t>1. 중동 비중</t>
    <phoneticPr fontId="3" type="noConversion"/>
  </si>
  <si>
    <t>1. Proportion of the Middle East.</t>
    <phoneticPr fontId="3" type="noConversion"/>
  </si>
  <si>
    <t>자료 : 한국석유공사</t>
    <phoneticPr fontId="3" type="noConversion"/>
  </si>
  <si>
    <t>Source : Korea National Oil Corporation.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</si>
</sst>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_);_(* \(#,##0\);_(* &quot;-&quot;_);_(@_)"/>
    <numFmt numFmtId="177" formatCode="0.0_ "/>
  </numFmts>
  <fonts count="1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5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vertAlign val="superscript"/>
      <sz val="8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>
      <alignment vertical="center"/>
    </xf>
    <xf numFmtId="0" fontId="2" fillId="2" borderId="0" xfId="0" applyFont="1" applyFill="1" applyAlignment="1">
      <alignment horizontal="left" vertical="center" indent="1"/>
    </xf>
    <xf numFmtId="0" fontId="6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7" fillId="2" borderId="0" xfId="0" applyFont="1" applyFill="1" applyAlignment="1">
      <alignment horizontal="right" vertical="center"/>
    </xf>
    <xf numFmtId="0" fontId="7" fillId="2" borderId="1" xfId="0" applyFont="1" applyFill="1" applyBorder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8" fillId="2" borderId="0" xfId="0" applyFont="1" applyFill="1">
      <alignment vertical="center"/>
    </xf>
    <xf numFmtId="0" fontId="7" fillId="2" borderId="6" xfId="0" applyFont="1" applyFill="1" applyBorder="1">
      <alignment vertical="center"/>
    </xf>
    <xf numFmtId="0" fontId="7" fillId="2" borderId="7" xfId="0" applyFont="1" applyFill="1" applyBorder="1" applyAlignment="1">
      <alignment horizontal="center" vertical="center" shrinkToFit="1"/>
    </xf>
    <xf numFmtId="0" fontId="7" fillId="2" borderId="6" xfId="0" applyFont="1" applyFill="1" applyBorder="1" applyAlignment="1">
      <alignment horizontal="center" vertical="center" shrinkToFit="1"/>
    </xf>
    <xf numFmtId="0" fontId="10" fillId="2" borderId="8" xfId="0" applyFont="1" applyFill="1" applyBorder="1" applyAlignment="1">
      <alignment horizontal="center" vertical="center" shrinkToFit="1"/>
    </xf>
    <xf numFmtId="0" fontId="7" fillId="2" borderId="8" xfId="0" applyFont="1" applyFill="1" applyBorder="1" applyAlignment="1">
      <alignment horizontal="center" vertical="center" shrinkToFit="1"/>
    </xf>
    <xf numFmtId="0" fontId="8" fillId="2" borderId="0" xfId="0" applyFont="1" applyFill="1" applyAlignment="1">
      <alignment horizontal="center" vertical="center" shrinkToFit="1"/>
    </xf>
    <xf numFmtId="0" fontId="7" fillId="2" borderId="9" xfId="0" applyFont="1" applyFill="1" applyBorder="1">
      <alignment vertical="center"/>
    </xf>
    <xf numFmtId="0" fontId="7" fillId="2" borderId="10" xfId="0" applyFont="1" applyFill="1" applyBorder="1" applyAlignment="1">
      <alignment horizontal="center" vertical="center" shrinkToFit="1"/>
    </xf>
    <xf numFmtId="0" fontId="7" fillId="2" borderId="9" xfId="0" applyFont="1" applyFill="1" applyBorder="1" applyAlignment="1">
      <alignment horizontal="center" vertical="center" shrinkToFit="1"/>
    </xf>
    <xf numFmtId="0" fontId="8" fillId="2" borderId="10" xfId="0" applyFont="1" applyFill="1" applyBorder="1" applyAlignment="1">
      <alignment horizontal="center" vertical="center" shrinkToFit="1"/>
    </xf>
    <xf numFmtId="0" fontId="8" fillId="2" borderId="11" xfId="0" applyFont="1" applyFill="1" applyBorder="1" applyAlignment="1">
      <alignment horizontal="center" vertical="center" shrinkToFit="1"/>
    </xf>
    <xf numFmtId="0" fontId="7" fillId="2" borderId="12" xfId="0" applyFont="1" applyFill="1" applyBorder="1" applyAlignment="1">
      <alignment horizontal="center" vertical="center"/>
    </xf>
    <xf numFmtId="176" fontId="7" fillId="2" borderId="8" xfId="0" applyNumberFormat="1" applyFont="1" applyFill="1" applyBorder="1" applyAlignment="1">
      <alignment horizontal="right" vertical="center"/>
    </xf>
    <xf numFmtId="176" fontId="7" fillId="2" borderId="13" xfId="0" applyNumberFormat="1" applyFont="1" applyFill="1" applyBorder="1" applyAlignment="1">
      <alignment horizontal="right" vertical="center"/>
    </xf>
    <xf numFmtId="176" fontId="7" fillId="2" borderId="12" xfId="0" applyNumberFormat="1" applyFont="1" applyFill="1" applyBorder="1" applyAlignment="1">
      <alignment horizontal="right" vertical="center"/>
    </xf>
    <xf numFmtId="177" fontId="7" fillId="2" borderId="13" xfId="0" applyNumberFormat="1" applyFont="1" applyFill="1" applyBorder="1" applyAlignment="1">
      <alignment horizontal="right" vertical="center"/>
    </xf>
    <xf numFmtId="0" fontId="7" fillId="2" borderId="6" xfId="0" applyFont="1" applyFill="1" applyBorder="1" applyAlignment="1">
      <alignment horizontal="center" vertical="center"/>
    </xf>
    <xf numFmtId="176" fontId="7" fillId="2" borderId="7" xfId="0" applyNumberFormat="1" applyFont="1" applyFill="1" applyBorder="1" applyAlignment="1">
      <alignment horizontal="right" vertical="center"/>
    </xf>
    <xf numFmtId="176" fontId="7" fillId="2" borderId="0" xfId="0" applyNumberFormat="1" applyFont="1" applyFill="1" applyAlignment="1">
      <alignment horizontal="right" vertical="center"/>
    </xf>
    <xf numFmtId="176" fontId="7" fillId="2" borderId="6" xfId="0" applyNumberFormat="1" applyFont="1" applyFill="1" applyBorder="1" applyAlignment="1">
      <alignment horizontal="right" vertical="center"/>
    </xf>
    <xf numFmtId="177" fontId="7" fillId="2" borderId="0" xfId="0" applyNumberFormat="1" applyFont="1" applyFill="1" applyAlignment="1">
      <alignment horizontal="right" vertical="center"/>
    </xf>
    <xf numFmtId="0" fontId="7" fillId="2" borderId="9" xfId="0" applyFont="1" applyFill="1" applyBorder="1" applyAlignment="1">
      <alignment horizontal="center" vertical="center"/>
    </xf>
    <xf numFmtId="176" fontId="7" fillId="2" borderId="10" xfId="0" applyNumberFormat="1" applyFont="1" applyFill="1" applyBorder="1" applyAlignment="1">
      <alignment horizontal="right" vertical="center"/>
    </xf>
    <xf numFmtId="176" fontId="7" fillId="2" borderId="11" xfId="0" applyNumberFormat="1" applyFont="1" applyFill="1" applyBorder="1" applyAlignment="1">
      <alignment horizontal="right" vertical="center"/>
    </xf>
    <xf numFmtId="176" fontId="7" fillId="2" borderId="9" xfId="0" applyNumberFormat="1" applyFont="1" applyFill="1" applyBorder="1" applyAlignment="1">
      <alignment horizontal="right" vertical="center"/>
    </xf>
    <xf numFmtId="177" fontId="7" fillId="2" borderId="11" xfId="0" applyNumberFormat="1" applyFont="1" applyFill="1" applyBorder="1" applyAlignment="1">
      <alignment horizontal="right" vertical="center"/>
    </xf>
    <xf numFmtId="0" fontId="7" fillId="2" borderId="14" xfId="0" applyFont="1" applyFill="1" applyBorder="1" applyAlignment="1">
      <alignment horizontal="center" vertical="center"/>
    </xf>
    <xf numFmtId="176" fontId="7" fillId="2" borderId="15" xfId="0" applyNumberFormat="1" applyFont="1" applyFill="1" applyBorder="1" applyAlignment="1">
      <alignment horizontal="right" vertical="center"/>
    </xf>
    <xf numFmtId="176" fontId="7" fillId="2" borderId="16" xfId="0" applyNumberFormat="1" applyFont="1" applyFill="1" applyBorder="1" applyAlignment="1">
      <alignment horizontal="right" vertical="center"/>
    </xf>
    <xf numFmtId="176" fontId="7" fillId="2" borderId="14" xfId="0" applyNumberFormat="1" applyFont="1" applyFill="1" applyBorder="1" applyAlignment="1">
      <alignment horizontal="right" vertical="center"/>
    </xf>
    <xf numFmtId="177" fontId="7" fillId="2" borderId="16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horizontal="left" vertical="center"/>
    </xf>
    <xf numFmtId="176" fontId="7" fillId="2" borderId="0" xfId="0" applyNumberFormat="1" applyFont="1" applyFill="1" applyAlignment="1">
      <alignment horizontal="left" vertical="center"/>
    </xf>
    <xf numFmtId="9" fontId="7" fillId="2" borderId="0" xfId="1" applyFont="1" applyFill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47785;&#52264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0</xdr:rowOff>
    </xdr:from>
    <xdr:to>
      <xdr:col>19</xdr:col>
      <xdr:colOff>95250</xdr:colOff>
      <xdr:row>1</xdr:row>
      <xdr:rowOff>76200</xdr:rowOff>
    </xdr:to>
    <xdr:sp macro="" textlink="">
      <xdr:nvSpPr>
        <xdr:cNvPr id="2" name="순서도: 카드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5B9C56-2828-4BC6-AB84-85E874C828B6}"/>
            </a:ext>
          </a:extLst>
        </xdr:cNvPr>
        <xdr:cNvSpPr/>
      </xdr:nvSpPr>
      <xdr:spPr>
        <a:xfrm>
          <a:off x="14239875" y="0"/>
          <a:ext cx="781050" cy="371475"/>
        </a:xfrm>
        <a:prstGeom prst="flowChartPunchedCard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1100">
              <a:solidFill>
                <a:schemeClr val="bg1"/>
              </a:solidFill>
              <a:latin typeface="Impact" panose="020B0806030902050204" pitchFamily="34" charset="0"/>
            </a:rPr>
            <a:t>[ </a:t>
          </a:r>
          <a:r>
            <a:rPr lang="ko-KR" altLang="en-US" sz="1100">
              <a:solidFill>
                <a:schemeClr val="bg1"/>
              </a:solidFill>
              <a:latin typeface="Impact" panose="020B0806030902050204" pitchFamily="34" charset="0"/>
            </a:rPr>
            <a:t>목 차 </a:t>
          </a:r>
          <a:r>
            <a:rPr lang="en-US" altLang="ko-KR" sz="1100">
              <a:solidFill>
                <a:schemeClr val="bg1"/>
              </a:solidFill>
              <a:latin typeface="Impact" panose="020B0806030902050204" pitchFamily="34" charset="0"/>
            </a:rPr>
            <a:t>]</a:t>
          </a:r>
          <a:endParaRPr lang="en-US" sz="1100">
            <a:solidFill>
              <a:schemeClr val="bg1"/>
            </a:solidFill>
            <a:latin typeface="Impact" panose="020B080603090205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D3812-E0CA-4519-8EE3-DD2F9BAA840A}">
  <dimension ref="A1:R60"/>
  <sheetViews>
    <sheetView tabSelected="1" topLeftCell="A3" workbookViewId="0">
      <selection activeCell="V41" sqref="V41"/>
    </sheetView>
  </sheetViews>
  <sheetFormatPr defaultColWidth="9" defaultRowHeight="17"/>
  <cols>
    <col min="1" max="1" width="9.25" style="2" bestFit="1" customWidth="1"/>
    <col min="2" max="2" width="10.1640625" style="2" customWidth="1"/>
    <col min="3" max="3" width="12.1640625" style="2" bestFit="1" customWidth="1"/>
    <col min="4" max="4" width="9.58203125" style="2" customWidth="1"/>
    <col min="5" max="5" width="11.4140625" style="2" customWidth="1"/>
    <col min="6" max="6" width="11.1640625" style="2" bestFit="1" customWidth="1"/>
    <col min="7" max="7" width="9.58203125" style="2" customWidth="1"/>
    <col min="8" max="8" width="8.83203125" style="2" bestFit="1" customWidth="1"/>
    <col min="9" max="9" width="11.1640625" style="2" bestFit="1" customWidth="1"/>
    <col min="10" max="12" width="9.58203125" style="2" customWidth="1"/>
    <col min="13" max="13" width="10.1640625" style="2" bestFit="1" customWidth="1"/>
    <col min="14" max="14" width="9.58203125" style="2" customWidth="1"/>
    <col min="15" max="15" width="11.1640625" style="3" bestFit="1" customWidth="1"/>
    <col min="16" max="16" width="12.1640625" style="2" bestFit="1" customWidth="1"/>
    <col min="17" max="17" width="10.1640625" style="2" bestFit="1" customWidth="1"/>
    <col min="18" max="18" width="11.58203125" style="2" bestFit="1" customWidth="1"/>
    <col min="19" max="16384" width="9" style="2"/>
  </cols>
  <sheetData>
    <row r="1" spans="1:18" s="4" customFormat="1" ht="23">
      <c r="A1" s="1" t="s">
        <v>0</v>
      </c>
      <c r="B1" s="2"/>
      <c r="C1" s="2"/>
      <c r="D1" s="2"/>
      <c r="E1" s="2"/>
      <c r="F1" s="2"/>
      <c r="G1" s="2"/>
      <c r="H1" s="2"/>
      <c r="I1" s="2"/>
      <c r="J1" s="1"/>
      <c r="K1" s="2"/>
      <c r="L1" s="2"/>
      <c r="M1" s="2"/>
      <c r="N1" s="2"/>
      <c r="O1" s="3"/>
      <c r="P1" s="2"/>
      <c r="Q1" s="2"/>
      <c r="R1" s="2"/>
    </row>
    <row r="2" spans="1:18" ht="2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1"/>
      <c r="M2" s="1"/>
      <c r="N2" s="1"/>
      <c r="O2" s="1"/>
      <c r="P2" s="1"/>
      <c r="Q2" s="1"/>
      <c r="R2" s="1"/>
    </row>
    <row r="3" spans="1:18" ht="25.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s="7" customFormat="1" ht="17.5" thickBot="1">
      <c r="A4" s="7" t="s">
        <v>2</v>
      </c>
      <c r="J4" s="2"/>
      <c r="R4" s="8" t="s">
        <v>3</v>
      </c>
    </row>
    <row r="5" spans="1:18" s="18" customFormat="1" ht="14.5">
      <c r="A5" s="9"/>
      <c r="B5" s="10" t="s">
        <v>4</v>
      </c>
      <c r="C5" s="11" t="s">
        <v>5</v>
      </c>
      <c r="D5" s="12"/>
      <c r="E5" s="12"/>
      <c r="F5" s="12"/>
      <c r="G5" s="12"/>
      <c r="H5" s="12"/>
      <c r="I5" s="13"/>
      <c r="J5" s="11" t="s">
        <v>6</v>
      </c>
      <c r="K5" s="14"/>
      <c r="L5" s="14"/>
      <c r="M5" s="14"/>
      <c r="N5" s="15"/>
      <c r="O5" s="16" t="s">
        <v>7</v>
      </c>
      <c r="P5" s="16" t="s">
        <v>8</v>
      </c>
      <c r="Q5" s="16" t="s">
        <v>9</v>
      </c>
      <c r="R5" s="17" t="s">
        <v>10</v>
      </c>
    </row>
    <row r="6" spans="1:18" s="7" customFormat="1" ht="14.5">
      <c r="A6" s="19"/>
      <c r="B6" s="20" t="s">
        <v>11</v>
      </c>
      <c r="C6" s="21" t="s">
        <v>12</v>
      </c>
      <c r="D6" s="22" t="s">
        <v>13</v>
      </c>
      <c r="E6" s="23" t="s">
        <v>14</v>
      </c>
      <c r="F6" s="23" t="s">
        <v>15</v>
      </c>
      <c r="G6" s="23" t="s">
        <v>16</v>
      </c>
      <c r="H6" s="23" t="s">
        <v>17</v>
      </c>
      <c r="I6" s="23" t="s">
        <v>18</v>
      </c>
      <c r="J6" s="21" t="s">
        <v>19</v>
      </c>
      <c r="K6" s="23" t="s">
        <v>20</v>
      </c>
      <c r="L6" s="23" t="s">
        <v>21</v>
      </c>
      <c r="M6" s="23" t="s">
        <v>22</v>
      </c>
      <c r="N6" s="23" t="s">
        <v>23</v>
      </c>
      <c r="O6" s="20" t="s">
        <v>24</v>
      </c>
      <c r="P6" s="20" t="s">
        <v>25</v>
      </c>
      <c r="Q6" s="20" t="s">
        <v>26</v>
      </c>
      <c r="R6" s="24" t="s">
        <v>27</v>
      </c>
    </row>
    <row r="7" spans="1:18" s="7" customFormat="1" ht="14.5">
      <c r="A7" s="25"/>
      <c r="B7" s="26" t="s">
        <v>28</v>
      </c>
      <c r="C7" s="27" t="s">
        <v>29</v>
      </c>
      <c r="D7" s="26" t="s">
        <v>30</v>
      </c>
      <c r="E7" s="28" t="s">
        <v>31</v>
      </c>
      <c r="F7" s="26" t="s">
        <v>32</v>
      </c>
      <c r="G7" s="26" t="s">
        <v>33</v>
      </c>
      <c r="H7" s="26" t="s">
        <v>34</v>
      </c>
      <c r="I7" s="26" t="s">
        <v>35</v>
      </c>
      <c r="J7" s="27"/>
      <c r="K7" s="26" t="s">
        <v>36</v>
      </c>
      <c r="L7" s="26" t="s">
        <v>37</v>
      </c>
      <c r="M7" s="26" t="s">
        <v>38</v>
      </c>
      <c r="N7" s="26" t="s">
        <v>39</v>
      </c>
      <c r="O7" s="26"/>
      <c r="P7" s="26"/>
      <c r="Q7" s="26"/>
      <c r="R7" s="29" t="s">
        <v>40</v>
      </c>
    </row>
    <row r="8" spans="1:18" s="7" customFormat="1" ht="14.5">
      <c r="A8" s="30">
        <v>1981</v>
      </c>
      <c r="B8" s="31">
        <v>182814.149</v>
      </c>
      <c r="C8" s="32">
        <v>165857.959</v>
      </c>
      <c r="D8" s="32">
        <v>104914.15300000001</v>
      </c>
      <c r="E8" s="32">
        <v>4647.08</v>
      </c>
      <c r="F8" s="32">
        <v>14496</v>
      </c>
      <c r="G8" s="32">
        <v>38510.892</v>
      </c>
      <c r="H8" s="32">
        <v>0</v>
      </c>
      <c r="I8" s="33">
        <v>0</v>
      </c>
      <c r="J8" s="32">
        <v>5140.9340000000002</v>
      </c>
      <c r="K8" s="32">
        <v>2841.723</v>
      </c>
      <c r="L8" s="32">
        <v>2299.2109999999998</v>
      </c>
      <c r="M8" s="32">
        <v>0</v>
      </c>
      <c r="N8" s="33">
        <v>0</v>
      </c>
      <c r="O8" s="31">
        <v>1466.865</v>
      </c>
      <c r="P8" s="31">
        <v>10348.391</v>
      </c>
      <c r="Q8" s="31">
        <v>0</v>
      </c>
      <c r="R8" s="34">
        <v>90.724999999999994</v>
      </c>
    </row>
    <row r="9" spans="1:18" s="7" customFormat="1" ht="14.5">
      <c r="A9" s="35">
        <v>1982</v>
      </c>
      <c r="B9" s="36">
        <v>178369.29699999999</v>
      </c>
      <c r="C9" s="37">
        <v>135526.55499999999</v>
      </c>
      <c r="D9" s="37">
        <v>88131.816000000006</v>
      </c>
      <c r="E9" s="37">
        <v>1152.6890000000001</v>
      </c>
      <c r="F9" s="37">
        <v>22899.323</v>
      </c>
      <c r="G9" s="37">
        <v>21328.422999999999</v>
      </c>
      <c r="H9" s="37">
        <v>0</v>
      </c>
      <c r="I9" s="38">
        <v>0</v>
      </c>
      <c r="J9" s="37">
        <v>21941.616999999998</v>
      </c>
      <c r="K9" s="37">
        <v>14776.894</v>
      </c>
      <c r="L9" s="37">
        <v>2468.9810000000002</v>
      </c>
      <c r="M9" s="37">
        <v>0</v>
      </c>
      <c r="N9" s="38">
        <v>4695.7420000000002</v>
      </c>
      <c r="O9" s="36">
        <v>6414.9250000000002</v>
      </c>
      <c r="P9" s="36">
        <v>14486.2</v>
      </c>
      <c r="Q9" s="36">
        <v>0</v>
      </c>
      <c r="R9" s="39">
        <v>75.980999999999995</v>
      </c>
    </row>
    <row r="10" spans="1:18" s="7" customFormat="1" ht="14.5">
      <c r="A10" s="35">
        <v>1983</v>
      </c>
      <c r="B10" s="36">
        <v>192969.25700000001</v>
      </c>
      <c r="C10" s="37">
        <v>141815.99900000001</v>
      </c>
      <c r="D10" s="37">
        <v>63074.74</v>
      </c>
      <c r="E10" s="37">
        <v>7068.0519999999997</v>
      </c>
      <c r="F10" s="37">
        <v>31414.73</v>
      </c>
      <c r="G10" s="37">
        <v>18958.602999999999</v>
      </c>
      <c r="H10" s="37">
        <v>17353.036</v>
      </c>
      <c r="I10" s="38">
        <v>2073.261</v>
      </c>
      <c r="J10" s="37">
        <v>27366.600999999999</v>
      </c>
      <c r="K10" s="37">
        <v>9402.1389999999992</v>
      </c>
      <c r="L10" s="37">
        <v>9781.6939999999995</v>
      </c>
      <c r="M10" s="37">
        <v>0</v>
      </c>
      <c r="N10" s="38">
        <v>8182.768</v>
      </c>
      <c r="O10" s="36">
        <v>12052.874</v>
      </c>
      <c r="P10" s="36">
        <v>11733.782999999999</v>
      </c>
      <c r="Q10" s="36">
        <v>0</v>
      </c>
      <c r="R10" s="39">
        <v>73.491</v>
      </c>
    </row>
    <row r="11" spans="1:18" s="7" customFormat="1" ht="14.5">
      <c r="A11" s="35">
        <v>1984</v>
      </c>
      <c r="B11" s="36">
        <v>199681.19200000001</v>
      </c>
      <c r="C11" s="37">
        <v>132466.71100000001</v>
      </c>
      <c r="D11" s="37">
        <v>37074.508000000002</v>
      </c>
      <c r="E11" s="37">
        <v>12593.323</v>
      </c>
      <c r="F11" s="37">
        <v>39370.462</v>
      </c>
      <c r="G11" s="37">
        <v>14988.802</v>
      </c>
      <c r="H11" s="37">
        <v>24094.02</v>
      </c>
      <c r="I11" s="38">
        <v>3272.79</v>
      </c>
      <c r="J11" s="37">
        <v>39328.839</v>
      </c>
      <c r="K11" s="37">
        <v>16919.058000000001</v>
      </c>
      <c r="L11" s="37">
        <v>15266.093999999999</v>
      </c>
      <c r="M11" s="37">
        <v>930.15899999999999</v>
      </c>
      <c r="N11" s="38">
        <v>5691.5349999999999</v>
      </c>
      <c r="O11" s="36">
        <v>11705.231</v>
      </c>
      <c r="P11" s="36">
        <v>16180.411</v>
      </c>
      <c r="Q11" s="36">
        <v>0</v>
      </c>
      <c r="R11" s="39">
        <v>66.338999999999999</v>
      </c>
    </row>
    <row r="12" spans="1:18" s="7" customFormat="1" ht="14.5">
      <c r="A12" s="40">
        <v>1985</v>
      </c>
      <c r="B12" s="41">
        <v>198312.92</v>
      </c>
      <c r="C12" s="42">
        <v>113012.73299999999</v>
      </c>
      <c r="D12" s="42">
        <v>13746.467000000001</v>
      </c>
      <c r="E12" s="42">
        <v>19933.796999999999</v>
      </c>
      <c r="F12" s="42">
        <v>34120.517999999996</v>
      </c>
      <c r="G12" s="42">
        <v>17520.144</v>
      </c>
      <c r="H12" s="42">
        <v>23124.710999999999</v>
      </c>
      <c r="I12" s="43">
        <v>502.423</v>
      </c>
      <c r="J12" s="42">
        <v>47995.773999999998</v>
      </c>
      <c r="K12" s="42">
        <v>20183.03</v>
      </c>
      <c r="L12" s="42">
        <v>19745.314999999999</v>
      </c>
      <c r="M12" s="42">
        <v>0</v>
      </c>
      <c r="N12" s="43">
        <v>8067.4290000000001</v>
      </c>
      <c r="O12" s="41">
        <v>11912.041999999999</v>
      </c>
      <c r="P12" s="41">
        <v>25392.370999999999</v>
      </c>
      <c r="Q12" s="41">
        <v>0</v>
      </c>
      <c r="R12" s="44">
        <v>56.987000000000002</v>
      </c>
    </row>
    <row r="13" spans="1:18" s="7" customFormat="1" ht="14.5">
      <c r="A13" s="30">
        <v>1986</v>
      </c>
      <c r="B13" s="31">
        <v>230063.29800000001</v>
      </c>
      <c r="C13" s="32">
        <v>142422.641</v>
      </c>
      <c r="D13" s="32">
        <v>21270.776999999998</v>
      </c>
      <c r="E13" s="32">
        <v>28417.05</v>
      </c>
      <c r="F13" s="32">
        <v>37395.644999999997</v>
      </c>
      <c r="G13" s="32">
        <v>13206.565000000001</v>
      </c>
      <c r="H13" s="32">
        <v>30933.502</v>
      </c>
      <c r="I13" s="33">
        <v>3683.0920000000001</v>
      </c>
      <c r="J13" s="32">
        <v>52128.063999999998</v>
      </c>
      <c r="K13" s="32">
        <v>17212.499</v>
      </c>
      <c r="L13" s="32">
        <v>23191.100999999999</v>
      </c>
      <c r="M13" s="32">
        <v>797.64400000000001</v>
      </c>
      <c r="N13" s="33">
        <v>9520.6890000000003</v>
      </c>
      <c r="O13" s="31">
        <v>9911.7260000000006</v>
      </c>
      <c r="P13" s="31">
        <v>25600.866999999998</v>
      </c>
      <c r="Q13" s="31">
        <v>0</v>
      </c>
      <c r="R13" s="34">
        <v>61.905999999999999</v>
      </c>
    </row>
    <row r="14" spans="1:18" s="7" customFormat="1" ht="14.5">
      <c r="A14" s="35">
        <v>1987</v>
      </c>
      <c r="B14" s="36">
        <v>216163.21100000001</v>
      </c>
      <c r="C14" s="37">
        <v>138659.04300000001</v>
      </c>
      <c r="D14" s="37">
        <v>31394.151000000002</v>
      </c>
      <c r="E14" s="37">
        <v>25255.241999999998</v>
      </c>
      <c r="F14" s="37">
        <v>31853.327000000001</v>
      </c>
      <c r="G14" s="37">
        <v>9692.866</v>
      </c>
      <c r="H14" s="37">
        <v>29229.187999999998</v>
      </c>
      <c r="I14" s="38">
        <v>2518.2399999999998</v>
      </c>
      <c r="J14" s="37">
        <v>51264.552000000003</v>
      </c>
      <c r="K14" s="37">
        <v>18014.219000000001</v>
      </c>
      <c r="L14" s="37">
        <v>20610.682000000001</v>
      </c>
      <c r="M14" s="37">
        <v>2252.7579999999998</v>
      </c>
      <c r="N14" s="38">
        <v>10386.893</v>
      </c>
      <c r="O14" s="36">
        <v>15141.162</v>
      </c>
      <c r="P14" s="36">
        <v>11098.454</v>
      </c>
      <c r="Q14" s="36">
        <v>0</v>
      </c>
      <c r="R14" s="39">
        <v>64.146000000000001</v>
      </c>
    </row>
    <row r="15" spans="1:18" s="7" customFormat="1" ht="14.5">
      <c r="A15" s="35">
        <v>1988</v>
      </c>
      <c r="B15" s="36">
        <v>261079.43</v>
      </c>
      <c r="C15" s="37">
        <v>168479.22700000001</v>
      </c>
      <c r="D15" s="37">
        <v>7840.7489999999998</v>
      </c>
      <c r="E15" s="37">
        <v>40565.777000000002</v>
      </c>
      <c r="F15" s="37">
        <v>35763.106</v>
      </c>
      <c r="G15" s="37">
        <v>9465.5030000000006</v>
      </c>
      <c r="H15" s="37">
        <v>51800.387000000002</v>
      </c>
      <c r="I15" s="38">
        <v>1276.136</v>
      </c>
      <c r="J15" s="37">
        <v>50979.991999999998</v>
      </c>
      <c r="K15" s="37">
        <v>12679.921</v>
      </c>
      <c r="L15" s="37">
        <v>22070.82</v>
      </c>
      <c r="M15" s="37">
        <v>1694.7439999999999</v>
      </c>
      <c r="N15" s="38">
        <v>11476.093000000001</v>
      </c>
      <c r="O15" s="36">
        <v>17775.18</v>
      </c>
      <c r="P15" s="36">
        <v>23845.030999999999</v>
      </c>
      <c r="Q15" s="36">
        <v>0</v>
      </c>
      <c r="R15" s="39">
        <v>64.531999999999996</v>
      </c>
    </row>
    <row r="16" spans="1:18" s="7" customFormat="1" ht="14.5">
      <c r="A16" s="35">
        <v>1989</v>
      </c>
      <c r="B16" s="36">
        <v>296410.66499999998</v>
      </c>
      <c r="C16" s="37">
        <v>211818.90400000001</v>
      </c>
      <c r="D16" s="37">
        <v>14973.739</v>
      </c>
      <c r="E16" s="37">
        <v>49122.031000000003</v>
      </c>
      <c r="F16" s="37">
        <v>38598.904000000002</v>
      </c>
      <c r="G16" s="37">
        <v>15096.602000000001</v>
      </c>
      <c r="H16" s="37">
        <v>70281.525999999998</v>
      </c>
      <c r="I16" s="38">
        <v>3469.6590000000001</v>
      </c>
      <c r="J16" s="37">
        <v>63585.43</v>
      </c>
      <c r="K16" s="37">
        <v>12362.143</v>
      </c>
      <c r="L16" s="37">
        <v>28009.353999999999</v>
      </c>
      <c r="M16" s="37">
        <v>1881.377</v>
      </c>
      <c r="N16" s="38">
        <v>13233.147000000001</v>
      </c>
      <c r="O16" s="36">
        <v>17180.219000000001</v>
      </c>
      <c r="P16" s="36">
        <v>3826.1120000000001</v>
      </c>
      <c r="Q16" s="36">
        <v>0</v>
      </c>
      <c r="R16" s="39">
        <v>71.460999999999999</v>
      </c>
    </row>
    <row r="17" spans="1:18" s="7" customFormat="1" ht="14.5">
      <c r="A17" s="40">
        <v>1990</v>
      </c>
      <c r="B17" s="41">
        <v>308368.10100000002</v>
      </c>
      <c r="C17" s="42">
        <v>229016.70199999999</v>
      </c>
      <c r="D17" s="42">
        <v>39615.769</v>
      </c>
      <c r="E17" s="42">
        <v>49876.718000000001</v>
      </c>
      <c r="F17" s="42">
        <v>34287.182000000001</v>
      </c>
      <c r="G17" s="42">
        <v>17069.026000000002</v>
      </c>
      <c r="H17" s="42">
        <v>63685.985999999997</v>
      </c>
      <c r="I17" s="43">
        <v>6609.9709999999995</v>
      </c>
      <c r="J17" s="42">
        <v>62529.659</v>
      </c>
      <c r="K17" s="42">
        <v>19096.411</v>
      </c>
      <c r="L17" s="42">
        <v>23135.489000000001</v>
      </c>
      <c r="M17" s="42">
        <v>689.255</v>
      </c>
      <c r="N17" s="43">
        <v>11514.199000000001</v>
      </c>
      <c r="O17" s="41">
        <v>9689.4079999999994</v>
      </c>
      <c r="P17" s="41">
        <v>7132.3320000000003</v>
      </c>
      <c r="Q17" s="41">
        <v>0</v>
      </c>
      <c r="R17" s="44">
        <v>74.266999999999996</v>
      </c>
    </row>
    <row r="18" spans="1:18" s="7" customFormat="1" ht="14.5">
      <c r="A18" s="30">
        <v>1991</v>
      </c>
      <c r="B18" s="31">
        <v>399303.44</v>
      </c>
      <c r="C18" s="32">
        <v>294356.77100000001</v>
      </c>
      <c r="D18" s="32">
        <v>133588.28899999999</v>
      </c>
      <c r="E18" s="32">
        <v>46135.487999999998</v>
      </c>
      <c r="F18" s="32">
        <v>52775.27</v>
      </c>
      <c r="G18" s="32">
        <v>0</v>
      </c>
      <c r="H18" s="32">
        <v>51155.493000000002</v>
      </c>
      <c r="I18" s="33">
        <v>8133.2079999999996</v>
      </c>
      <c r="J18" s="32">
        <v>82694.569000000003</v>
      </c>
      <c r="K18" s="32">
        <v>33436.425000000003</v>
      </c>
      <c r="L18" s="32">
        <v>26102.155999999999</v>
      </c>
      <c r="M18" s="32">
        <v>1674.2739999999999</v>
      </c>
      <c r="N18" s="33">
        <v>12224.762000000001</v>
      </c>
      <c r="O18" s="31">
        <v>5551.3850000000002</v>
      </c>
      <c r="P18" s="31">
        <v>16700.715</v>
      </c>
      <c r="Q18" s="31">
        <v>0</v>
      </c>
      <c r="R18" s="34">
        <v>73.718000000000004</v>
      </c>
    </row>
    <row r="19" spans="1:18" s="7" customFormat="1" ht="14.5">
      <c r="A19" s="35">
        <v>1992</v>
      </c>
      <c r="B19" s="36">
        <v>509377.70299999998</v>
      </c>
      <c r="C19" s="37">
        <v>380452.32500000001</v>
      </c>
      <c r="D19" s="37">
        <v>155104.201</v>
      </c>
      <c r="E19" s="37">
        <v>53206.038</v>
      </c>
      <c r="F19" s="37">
        <v>61276.233</v>
      </c>
      <c r="G19" s="37">
        <v>14372.296</v>
      </c>
      <c r="H19" s="37">
        <v>73725.244000000006</v>
      </c>
      <c r="I19" s="38">
        <v>14504.888999999999</v>
      </c>
      <c r="J19" s="37">
        <v>95032.528000000006</v>
      </c>
      <c r="K19" s="37">
        <v>38039.839</v>
      </c>
      <c r="L19" s="37">
        <v>25463.649000000001</v>
      </c>
      <c r="M19" s="37">
        <v>0</v>
      </c>
      <c r="N19" s="38">
        <v>14441.16</v>
      </c>
      <c r="O19" s="36">
        <v>12822.143</v>
      </c>
      <c r="P19" s="36">
        <v>21070.706999999999</v>
      </c>
      <c r="Q19" s="36">
        <v>0</v>
      </c>
      <c r="R19" s="39">
        <v>74.69</v>
      </c>
    </row>
    <row r="20" spans="1:18" s="7" customFormat="1" ht="14.5">
      <c r="A20" s="35">
        <v>1993</v>
      </c>
      <c r="B20" s="36">
        <v>560563.10600000003</v>
      </c>
      <c r="C20" s="37">
        <v>430839.08199999999</v>
      </c>
      <c r="D20" s="37">
        <v>172413.06200000001</v>
      </c>
      <c r="E20" s="37">
        <v>57575.974000000002</v>
      </c>
      <c r="F20" s="37">
        <v>76056.740999999995</v>
      </c>
      <c r="G20" s="37">
        <v>29334.288</v>
      </c>
      <c r="H20" s="37">
        <v>69556.663</v>
      </c>
      <c r="I20" s="38">
        <v>14404.125</v>
      </c>
      <c r="J20" s="37">
        <v>96232.667000000001</v>
      </c>
      <c r="K20" s="37">
        <v>34677.447</v>
      </c>
      <c r="L20" s="37">
        <v>27369.987000000001</v>
      </c>
      <c r="M20" s="37">
        <v>1818.521</v>
      </c>
      <c r="N20" s="38">
        <v>12949.732</v>
      </c>
      <c r="O20" s="36">
        <v>15789.628000000001</v>
      </c>
      <c r="P20" s="36">
        <v>17701.728999999999</v>
      </c>
      <c r="Q20" s="36">
        <v>0</v>
      </c>
      <c r="R20" s="39">
        <v>76.858000000000004</v>
      </c>
    </row>
    <row r="21" spans="1:18" s="7" customFormat="1" ht="14.5">
      <c r="A21" s="35">
        <v>1994</v>
      </c>
      <c r="B21" s="36">
        <v>573713.61699999997</v>
      </c>
      <c r="C21" s="37">
        <v>439330.35499999998</v>
      </c>
      <c r="D21" s="37">
        <v>177619.49</v>
      </c>
      <c r="E21" s="37">
        <v>48598.154999999999</v>
      </c>
      <c r="F21" s="37">
        <v>82827.952000000005</v>
      </c>
      <c r="G21" s="37">
        <v>27239.183000000001</v>
      </c>
      <c r="H21" s="37">
        <v>48381.258999999998</v>
      </c>
      <c r="I21" s="38">
        <v>14351.991</v>
      </c>
      <c r="J21" s="37">
        <v>91083.478000000003</v>
      </c>
      <c r="K21" s="37">
        <v>37453.707999999999</v>
      </c>
      <c r="L21" s="37">
        <v>19998.478999999999</v>
      </c>
      <c r="M21" s="37">
        <v>3880.1109999999999</v>
      </c>
      <c r="N21" s="38">
        <v>13335.016</v>
      </c>
      <c r="O21" s="36">
        <v>23224.531999999999</v>
      </c>
      <c r="P21" s="36">
        <v>20075.252</v>
      </c>
      <c r="Q21" s="36">
        <v>0</v>
      </c>
      <c r="R21" s="39">
        <v>76.576999999999998</v>
      </c>
    </row>
    <row r="22" spans="1:18" s="7" customFormat="1" ht="14.5">
      <c r="A22" s="40">
        <v>1995</v>
      </c>
      <c r="B22" s="41">
        <v>624944.83799999999</v>
      </c>
      <c r="C22" s="42">
        <v>486527.74</v>
      </c>
      <c r="D22" s="42">
        <v>226862.70300000001</v>
      </c>
      <c r="E22" s="42">
        <v>70536.478000000003</v>
      </c>
      <c r="F22" s="42">
        <v>68313.582999999999</v>
      </c>
      <c r="G22" s="42">
        <v>25233.345000000001</v>
      </c>
      <c r="H22" s="42">
        <v>55130.847999999998</v>
      </c>
      <c r="I22" s="43">
        <v>10871.43</v>
      </c>
      <c r="J22" s="42">
        <v>82050.153000000006</v>
      </c>
      <c r="K22" s="42">
        <v>31367.22</v>
      </c>
      <c r="L22" s="42">
        <v>13339.039000000001</v>
      </c>
      <c r="M22" s="42">
        <v>4939.4290000000001</v>
      </c>
      <c r="N22" s="43">
        <v>11937.993</v>
      </c>
      <c r="O22" s="41">
        <v>37910.697999999997</v>
      </c>
      <c r="P22" s="41">
        <v>18456.246999999999</v>
      </c>
      <c r="Q22" s="41">
        <v>0</v>
      </c>
      <c r="R22" s="44">
        <v>77.850999999999999</v>
      </c>
    </row>
    <row r="23" spans="1:18" s="7" customFormat="1" ht="14.5">
      <c r="A23" s="30">
        <v>1996</v>
      </c>
      <c r="B23" s="31">
        <v>721926.701</v>
      </c>
      <c r="C23" s="32">
        <v>561097.53099999996</v>
      </c>
      <c r="D23" s="32">
        <v>252664.62700000001</v>
      </c>
      <c r="E23" s="32">
        <v>91619.930999999997</v>
      </c>
      <c r="F23" s="32">
        <v>78066.797000000006</v>
      </c>
      <c r="G23" s="32">
        <v>41134.173000000003</v>
      </c>
      <c r="H23" s="32">
        <v>57412.53</v>
      </c>
      <c r="I23" s="33">
        <v>14424.212</v>
      </c>
      <c r="J23" s="32">
        <v>98631.201000000001</v>
      </c>
      <c r="K23" s="32">
        <v>35088.216999999997</v>
      </c>
      <c r="L23" s="32">
        <v>14837.651</v>
      </c>
      <c r="M23" s="32">
        <v>5445.2849999999999</v>
      </c>
      <c r="N23" s="33">
        <v>13827.531000000001</v>
      </c>
      <c r="O23" s="31">
        <v>37023.921999999999</v>
      </c>
      <c r="P23" s="31">
        <v>25174.046999999999</v>
      </c>
      <c r="Q23" s="31">
        <v>0</v>
      </c>
      <c r="R23" s="34">
        <v>77.721999999999994</v>
      </c>
    </row>
    <row r="24" spans="1:18" s="7" customFormat="1" ht="14.5">
      <c r="A24" s="35">
        <v>1997</v>
      </c>
      <c r="B24" s="36">
        <v>873415.34199999995</v>
      </c>
      <c r="C24" s="37">
        <v>645677.60100000002</v>
      </c>
      <c r="D24" s="37">
        <v>267888.34700000001</v>
      </c>
      <c r="E24" s="37">
        <v>127394.951</v>
      </c>
      <c r="F24" s="37">
        <v>82192.459000000003</v>
      </c>
      <c r="G24" s="37">
        <v>55090.696000000004</v>
      </c>
      <c r="H24" s="37">
        <v>50196.76</v>
      </c>
      <c r="I24" s="38">
        <v>35241.483999999997</v>
      </c>
      <c r="J24" s="37">
        <v>121371.86199999999</v>
      </c>
      <c r="K24" s="37">
        <v>40965.286999999997</v>
      </c>
      <c r="L24" s="37">
        <v>16968.162</v>
      </c>
      <c r="M24" s="37">
        <v>8851.17</v>
      </c>
      <c r="N24" s="38">
        <v>12786.692999999999</v>
      </c>
      <c r="O24" s="36">
        <v>82126.111999999994</v>
      </c>
      <c r="P24" s="36">
        <v>23579.852999999999</v>
      </c>
      <c r="Q24" s="36">
        <v>659.91399999999999</v>
      </c>
      <c r="R24" s="39">
        <v>73.926000000000002</v>
      </c>
    </row>
    <row r="25" spans="1:18" s="7" customFormat="1" ht="14.5">
      <c r="A25" s="35">
        <v>1998</v>
      </c>
      <c r="B25" s="36">
        <v>819093.77800000005</v>
      </c>
      <c r="C25" s="37">
        <v>622004.53399999999</v>
      </c>
      <c r="D25" s="37">
        <v>234450.15700000001</v>
      </c>
      <c r="E25" s="37">
        <v>122021.942</v>
      </c>
      <c r="F25" s="37">
        <v>67502</v>
      </c>
      <c r="G25" s="37">
        <v>66894.433000000005</v>
      </c>
      <c r="H25" s="37">
        <v>57194.786999999997</v>
      </c>
      <c r="I25" s="38">
        <v>34879.247000000003</v>
      </c>
      <c r="J25" s="37">
        <v>113493.701</v>
      </c>
      <c r="K25" s="37">
        <v>33599.248</v>
      </c>
      <c r="L25" s="37">
        <v>18155.968000000001</v>
      </c>
      <c r="M25" s="37">
        <v>14252.064</v>
      </c>
      <c r="N25" s="38">
        <v>13785.71</v>
      </c>
      <c r="O25" s="36">
        <v>61906.964</v>
      </c>
      <c r="P25" s="36">
        <v>17594.064999999999</v>
      </c>
      <c r="Q25" s="36">
        <v>4094.5140000000001</v>
      </c>
      <c r="R25" s="39">
        <v>75.938000000000002</v>
      </c>
    </row>
    <row r="26" spans="1:18" s="7" customFormat="1" ht="14.5">
      <c r="A26" s="35">
        <v>1999</v>
      </c>
      <c r="B26" s="36">
        <v>874090.18599999999</v>
      </c>
      <c r="C26" s="37">
        <v>632067.446</v>
      </c>
      <c r="D26" s="37">
        <v>241746.93299999999</v>
      </c>
      <c r="E26" s="37">
        <v>117404.984</v>
      </c>
      <c r="F26" s="37">
        <v>81943.712</v>
      </c>
      <c r="G26" s="37">
        <v>53283.57</v>
      </c>
      <c r="H26" s="37">
        <v>56000.574999999997</v>
      </c>
      <c r="I26" s="38">
        <v>37300.733999999997</v>
      </c>
      <c r="J26" s="37">
        <v>93517.205000000002</v>
      </c>
      <c r="K26" s="37">
        <v>41726.188000000002</v>
      </c>
      <c r="L26" s="37">
        <v>19987.903999999999</v>
      </c>
      <c r="M26" s="37">
        <v>15495.45</v>
      </c>
      <c r="N26" s="38">
        <v>8044.5709999999999</v>
      </c>
      <c r="O26" s="36">
        <v>109559.63400000001</v>
      </c>
      <c r="P26" s="36">
        <v>27895.715</v>
      </c>
      <c r="Q26" s="36">
        <v>11050.186</v>
      </c>
      <c r="R26" s="39">
        <v>72.311000000000007</v>
      </c>
    </row>
    <row r="27" spans="1:18" s="7" customFormat="1" ht="14.5">
      <c r="A27" s="40">
        <v>2000</v>
      </c>
      <c r="B27" s="41">
        <v>893943.28300000005</v>
      </c>
      <c r="C27" s="42">
        <v>686916.02</v>
      </c>
      <c r="D27" s="42">
        <v>264925.19699999999</v>
      </c>
      <c r="E27" s="42">
        <v>128064.139</v>
      </c>
      <c r="F27" s="42">
        <v>81250.509000000005</v>
      </c>
      <c r="G27" s="42">
        <v>66626.538</v>
      </c>
      <c r="H27" s="42">
        <v>46631.635999999999</v>
      </c>
      <c r="I27" s="43">
        <v>45721.781999999999</v>
      </c>
      <c r="J27" s="42">
        <v>112668.60400000001</v>
      </c>
      <c r="K27" s="42">
        <v>36762.49</v>
      </c>
      <c r="L27" s="42">
        <v>17732.096000000001</v>
      </c>
      <c r="M27" s="42">
        <v>34989.686999999998</v>
      </c>
      <c r="N27" s="43">
        <v>8649.2450000000008</v>
      </c>
      <c r="O27" s="41">
        <v>67748.824999999997</v>
      </c>
      <c r="P27" s="41">
        <v>21365.09</v>
      </c>
      <c r="Q27" s="41">
        <v>5244.7439999999997</v>
      </c>
      <c r="R27" s="44">
        <v>76.840999999999994</v>
      </c>
    </row>
    <row r="28" spans="1:18" s="7" customFormat="1" ht="14.5">
      <c r="A28" s="30">
        <v>2001</v>
      </c>
      <c r="B28" s="31">
        <v>859367.11600000004</v>
      </c>
      <c r="C28" s="32">
        <v>661649.21900000004</v>
      </c>
      <c r="D28" s="32">
        <v>255432.40700000001</v>
      </c>
      <c r="E28" s="32">
        <v>128404.56600000001</v>
      </c>
      <c r="F28" s="32">
        <v>80412.800000000003</v>
      </c>
      <c r="G28" s="32">
        <v>64407.25</v>
      </c>
      <c r="H28" s="32">
        <v>53638.500999999997</v>
      </c>
      <c r="I28" s="33">
        <v>42157.148999999998</v>
      </c>
      <c r="J28" s="32">
        <v>130032.799</v>
      </c>
      <c r="K28" s="32">
        <v>45227.998</v>
      </c>
      <c r="L28" s="32">
        <v>19838.352999999999</v>
      </c>
      <c r="M28" s="32">
        <v>32878.966</v>
      </c>
      <c r="N28" s="33">
        <v>9631.1239999999998</v>
      </c>
      <c r="O28" s="31">
        <v>39155.464</v>
      </c>
      <c r="P28" s="31">
        <v>25469.013999999999</v>
      </c>
      <c r="Q28" s="31">
        <v>3060.62</v>
      </c>
      <c r="R28" s="34">
        <v>76.992999999999995</v>
      </c>
    </row>
    <row r="29" spans="1:18" s="7" customFormat="1" ht="14.5">
      <c r="A29" s="35">
        <v>2002</v>
      </c>
      <c r="B29" s="36">
        <v>790992.02300000004</v>
      </c>
      <c r="C29" s="37">
        <v>579864.72499999998</v>
      </c>
      <c r="D29" s="37">
        <v>240764.829</v>
      </c>
      <c r="E29" s="37">
        <v>105904.7</v>
      </c>
      <c r="F29" s="37">
        <v>51511.661</v>
      </c>
      <c r="G29" s="37">
        <v>56995.974999999999</v>
      </c>
      <c r="H29" s="37">
        <v>42052.642</v>
      </c>
      <c r="I29" s="38">
        <v>35330.26</v>
      </c>
      <c r="J29" s="37">
        <v>136756.48499999999</v>
      </c>
      <c r="K29" s="37">
        <v>42456.614999999998</v>
      </c>
      <c r="L29" s="37">
        <v>14246.766</v>
      </c>
      <c r="M29" s="37">
        <v>39551.538999999997</v>
      </c>
      <c r="N29" s="38">
        <v>11507.678</v>
      </c>
      <c r="O29" s="36">
        <v>35876.919000000002</v>
      </c>
      <c r="P29" s="36">
        <v>30282.294999999998</v>
      </c>
      <c r="Q29" s="36">
        <v>8211.5990000000002</v>
      </c>
      <c r="R29" s="39">
        <v>73.308999999999997</v>
      </c>
    </row>
    <row r="30" spans="1:18" s="7" customFormat="1" ht="14.5">
      <c r="A30" s="35">
        <v>2003</v>
      </c>
      <c r="B30" s="36">
        <v>804809.14800000004</v>
      </c>
      <c r="C30" s="37">
        <v>639452.84699999995</v>
      </c>
      <c r="D30" s="37">
        <v>250473.36499999999</v>
      </c>
      <c r="E30" s="37">
        <v>138869.33600000001</v>
      </c>
      <c r="F30" s="37">
        <v>63681.699000000001</v>
      </c>
      <c r="G30" s="37">
        <v>65884.599000000002</v>
      </c>
      <c r="H30" s="37">
        <v>40927.493999999999</v>
      </c>
      <c r="I30" s="38">
        <v>46779.858999999997</v>
      </c>
      <c r="J30" s="37">
        <v>100721.272</v>
      </c>
      <c r="K30" s="37">
        <v>33672.32</v>
      </c>
      <c r="L30" s="37">
        <v>11101.361000000001</v>
      </c>
      <c r="M30" s="37">
        <v>25395.501</v>
      </c>
      <c r="N30" s="38">
        <v>11247.108</v>
      </c>
      <c r="O30" s="36">
        <v>34156.220999999998</v>
      </c>
      <c r="P30" s="36">
        <v>28542.702000000001</v>
      </c>
      <c r="Q30" s="36">
        <v>1936.107</v>
      </c>
      <c r="R30" s="39">
        <v>79.453999999999994</v>
      </c>
    </row>
    <row r="31" spans="1:18" s="7" customFormat="1" ht="14.5">
      <c r="A31" s="35">
        <v>2004</v>
      </c>
      <c r="B31" s="36">
        <v>825790.25300000003</v>
      </c>
      <c r="C31" s="37">
        <v>645182.946</v>
      </c>
      <c r="D31" s="37">
        <v>253849.008</v>
      </c>
      <c r="E31" s="37">
        <v>145598.49400000001</v>
      </c>
      <c r="F31" s="37">
        <v>64973.89</v>
      </c>
      <c r="G31" s="37">
        <v>64658.574999999997</v>
      </c>
      <c r="H31" s="37">
        <v>32831.629999999997</v>
      </c>
      <c r="I31" s="38">
        <v>45581.398000000001</v>
      </c>
      <c r="J31" s="37">
        <v>116286.655</v>
      </c>
      <c r="K31" s="37">
        <v>38103.97</v>
      </c>
      <c r="L31" s="37">
        <v>13784.953</v>
      </c>
      <c r="M31" s="37">
        <v>32068.129000000001</v>
      </c>
      <c r="N31" s="38">
        <v>10896.955</v>
      </c>
      <c r="O31" s="36">
        <v>42873.694000000003</v>
      </c>
      <c r="P31" s="36">
        <v>21446.957999999999</v>
      </c>
      <c r="Q31" s="36">
        <v>0</v>
      </c>
      <c r="R31" s="39">
        <v>78.129000000000005</v>
      </c>
    </row>
    <row r="32" spans="1:18" s="7" customFormat="1" ht="14.5">
      <c r="A32" s="40">
        <v>2005</v>
      </c>
      <c r="B32" s="41">
        <v>843203.071</v>
      </c>
      <c r="C32" s="42">
        <v>689355.53399999999</v>
      </c>
      <c r="D32" s="42">
        <v>249336.54800000001</v>
      </c>
      <c r="E32" s="42">
        <v>150608.18799999999</v>
      </c>
      <c r="F32" s="42">
        <v>70767.441999999995</v>
      </c>
      <c r="G32" s="42">
        <v>79679.014999999999</v>
      </c>
      <c r="H32" s="42">
        <v>38798.934999999998</v>
      </c>
      <c r="I32" s="43">
        <v>53121.879000000001</v>
      </c>
      <c r="J32" s="42">
        <v>111936.75</v>
      </c>
      <c r="K32" s="42">
        <v>37703.356</v>
      </c>
      <c r="L32" s="42">
        <v>13037.156000000001</v>
      </c>
      <c r="M32" s="42">
        <v>31878.623</v>
      </c>
      <c r="N32" s="43">
        <v>10557.933000000001</v>
      </c>
      <c r="O32" s="41">
        <v>34423.868999999999</v>
      </c>
      <c r="P32" s="41">
        <v>5363.2860000000001</v>
      </c>
      <c r="Q32" s="41">
        <v>2123.6320000000001</v>
      </c>
      <c r="R32" s="44">
        <v>81.754000000000005</v>
      </c>
    </row>
    <row r="33" spans="1:18" s="7" customFormat="1" ht="14.5">
      <c r="A33" s="30">
        <v>2006</v>
      </c>
      <c r="B33" s="31">
        <v>888794.18900000001</v>
      </c>
      <c r="C33" s="32">
        <v>730843.21699999995</v>
      </c>
      <c r="D33" s="32">
        <v>261562.55300000001</v>
      </c>
      <c r="E33" s="32">
        <v>158865.26500000001</v>
      </c>
      <c r="F33" s="32">
        <v>75057.691999999995</v>
      </c>
      <c r="G33" s="32">
        <v>92620.020999999993</v>
      </c>
      <c r="H33" s="32">
        <v>36273.461000000003</v>
      </c>
      <c r="I33" s="33">
        <v>49870.982000000004</v>
      </c>
      <c r="J33" s="32">
        <v>110306.034</v>
      </c>
      <c r="K33" s="32">
        <v>23359.023000000001</v>
      </c>
      <c r="L33" s="32">
        <v>12747.001</v>
      </c>
      <c r="M33" s="32">
        <v>34652.455999999998</v>
      </c>
      <c r="N33" s="33">
        <v>13209.56</v>
      </c>
      <c r="O33" s="31">
        <v>42814.135000000002</v>
      </c>
      <c r="P33" s="31">
        <v>4830.8029999999999</v>
      </c>
      <c r="Q33" s="31">
        <v>0</v>
      </c>
      <c r="R33" s="34">
        <v>82.228999999999999</v>
      </c>
    </row>
    <row r="34" spans="1:18" s="7" customFormat="1" ht="14.5">
      <c r="A34" s="35">
        <v>2007</v>
      </c>
      <c r="B34" s="36">
        <v>872540.61199999996</v>
      </c>
      <c r="C34" s="37">
        <v>704020.42799999996</v>
      </c>
      <c r="D34" s="37">
        <v>249886.7</v>
      </c>
      <c r="E34" s="37">
        <v>141887.052</v>
      </c>
      <c r="F34" s="37">
        <v>85792.688999999998</v>
      </c>
      <c r="G34" s="37">
        <v>94030.582999999999</v>
      </c>
      <c r="H34" s="37">
        <v>14759.838</v>
      </c>
      <c r="I34" s="38">
        <v>46087.705000000002</v>
      </c>
      <c r="J34" s="37">
        <v>131273.07999999999</v>
      </c>
      <c r="K34" s="37">
        <v>17603.046999999999</v>
      </c>
      <c r="L34" s="37">
        <v>12991.319</v>
      </c>
      <c r="M34" s="37">
        <v>39101.260999999999</v>
      </c>
      <c r="N34" s="38">
        <v>9223.5830000000005</v>
      </c>
      <c r="O34" s="36">
        <v>35557.468000000001</v>
      </c>
      <c r="P34" s="36">
        <v>1689.636</v>
      </c>
      <c r="Q34" s="36">
        <v>0</v>
      </c>
      <c r="R34" s="39">
        <v>80.686000000000007</v>
      </c>
    </row>
    <row r="35" spans="1:18" s="7" customFormat="1" ht="14.5">
      <c r="A35" s="35">
        <v>2008</v>
      </c>
      <c r="B35" s="36">
        <v>864872.00600000005</v>
      </c>
      <c r="C35" s="37">
        <v>746457.56</v>
      </c>
      <c r="D35" s="37">
        <v>262636.91600000003</v>
      </c>
      <c r="E35" s="37">
        <v>158108.522</v>
      </c>
      <c r="F35" s="37">
        <v>73016.441000000006</v>
      </c>
      <c r="G35" s="37">
        <v>104592.78599999999</v>
      </c>
      <c r="H35" s="37">
        <v>16669.652999999998</v>
      </c>
      <c r="I35" s="38">
        <v>64401.917999999998</v>
      </c>
      <c r="J35" s="37">
        <v>108482.36900000001</v>
      </c>
      <c r="K35" s="37">
        <v>16308.473</v>
      </c>
      <c r="L35" s="37">
        <v>11155.022000000001</v>
      </c>
      <c r="M35" s="37">
        <v>34498.523999999998</v>
      </c>
      <c r="N35" s="38">
        <v>10643.869000000001</v>
      </c>
      <c r="O35" s="36">
        <v>9932.0779999999995</v>
      </c>
      <c r="P35" s="36">
        <v>0</v>
      </c>
      <c r="Q35" s="36">
        <v>0</v>
      </c>
      <c r="R35" s="39">
        <v>86.308000000000007</v>
      </c>
    </row>
    <row r="36" spans="1:18" s="7" customFormat="1" ht="14.5">
      <c r="A36" s="35">
        <v>2009</v>
      </c>
      <c r="B36" s="36">
        <v>835084.87899999996</v>
      </c>
      <c r="C36" s="37">
        <v>705362.99899999995</v>
      </c>
      <c r="D36" s="37">
        <v>254799.30300000001</v>
      </c>
      <c r="E36" s="37">
        <v>114591.78200000001</v>
      </c>
      <c r="F36" s="37">
        <v>81437.16</v>
      </c>
      <c r="G36" s="37">
        <v>100090.07799999999</v>
      </c>
      <c r="H36" s="37">
        <v>17506.810000000001</v>
      </c>
      <c r="I36" s="38">
        <v>53672.798000000003</v>
      </c>
      <c r="J36" s="37">
        <v>116379.223</v>
      </c>
      <c r="K36" s="37">
        <v>20114.744999999999</v>
      </c>
      <c r="L36" s="37">
        <v>6270.6440000000002</v>
      </c>
      <c r="M36" s="37">
        <v>34422.741000000002</v>
      </c>
      <c r="N36" s="38">
        <v>9596.4699999999993</v>
      </c>
      <c r="O36" s="36">
        <v>11608.377</v>
      </c>
      <c r="P36" s="36">
        <v>1734.2809999999999</v>
      </c>
      <c r="Q36" s="36">
        <v>0</v>
      </c>
      <c r="R36" s="39">
        <v>84.465999999999994</v>
      </c>
    </row>
    <row r="37" spans="1:18" s="7" customFormat="1" ht="14.5">
      <c r="A37" s="40">
        <v>2010</v>
      </c>
      <c r="B37" s="41">
        <v>872415.12699999998</v>
      </c>
      <c r="C37" s="42">
        <v>713646.59199999995</v>
      </c>
      <c r="D37" s="42">
        <v>276787.11300000001</v>
      </c>
      <c r="E37" s="42">
        <v>105656.306</v>
      </c>
      <c r="F37" s="42">
        <v>72604.623000000007</v>
      </c>
      <c r="G37" s="42">
        <v>103078.89200000001</v>
      </c>
      <c r="H37" s="42">
        <v>12152.482</v>
      </c>
      <c r="I37" s="43">
        <v>64362.17</v>
      </c>
      <c r="J37" s="42">
        <v>152353.71</v>
      </c>
      <c r="K37" s="42">
        <v>29668.462</v>
      </c>
      <c r="L37" s="42">
        <v>9032.2579999999998</v>
      </c>
      <c r="M37" s="42">
        <v>31735.018</v>
      </c>
      <c r="N37" s="43">
        <v>12667.894</v>
      </c>
      <c r="O37" s="41">
        <v>4591.9799999999996</v>
      </c>
      <c r="P37" s="41">
        <v>1822.845</v>
      </c>
      <c r="Q37" s="41">
        <v>0</v>
      </c>
      <c r="R37" s="44">
        <v>81.801000000000002</v>
      </c>
    </row>
    <row r="38" spans="1:18" s="7" customFormat="1" ht="14.5">
      <c r="A38" s="35">
        <v>2011</v>
      </c>
      <c r="B38" s="36">
        <v>927044.38300000003</v>
      </c>
      <c r="C38" s="37">
        <v>807908.446</v>
      </c>
      <c r="D38" s="37">
        <v>291348.299</v>
      </c>
      <c r="E38" s="37">
        <v>87233.641000000003</v>
      </c>
      <c r="F38" s="37">
        <v>87184.341</v>
      </c>
      <c r="G38" s="37">
        <v>117369.765</v>
      </c>
      <c r="H38" s="37">
        <v>16714.941999999999</v>
      </c>
      <c r="I38" s="38">
        <v>93145.546000000002</v>
      </c>
      <c r="J38" s="37">
        <v>108402.485</v>
      </c>
      <c r="K38" s="37">
        <v>21008.058000000001</v>
      </c>
      <c r="L38" s="37">
        <v>8961.4330000000009</v>
      </c>
      <c r="M38" s="37">
        <v>15101.093000000001</v>
      </c>
      <c r="N38" s="38">
        <v>12324.282999999999</v>
      </c>
      <c r="O38" s="36">
        <v>2771.8420000000001</v>
      </c>
      <c r="P38" s="36">
        <v>2795.9920000000002</v>
      </c>
      <c r="Q38" s="36">
        <v>5165.6180000000004</v>
      </c>
      <c r="R38" s="34">
        <v>87.149000000000001</v>
      </c>
    </row>
    <row r="39" spans="1:18" s="7" customFormat="1" ht="14.5">
      <c r="A39" s="35">
        <v>2012</v>
      </c>
      <c r="B39" s="36">
        <v>947291.82</v>
      </c>
      <c r="C39" s="37">
        <v>805970.81</v>
      </c>
      <c r="D39" s="37">
        <v>303049.17599999998</v>
      </c>
      <c r="E39" s="37">
        <v>86535.626999999993</v>
      </c>
      <c r="F39" s="37">
        <v>56146.095000000001</v>
      </c>
      <c r="G39" s="37">
        <v>137647.364</v>
      </c>
      <c r="H39" s="37">
        <v>8761.0529999999999</v>
      </c>
      <c r="I39" s="38">
        <v>103825.46</v>
      </c>
      <c r="J39" s="37">
        <v>88189.771999999997</v>
      </c>
      <c r="K39" s="37">
        <v>20588.164000000001</v>
      </c>
      <c r="L39" s="37">
        <v>4909.4080000000004</v>
      </c>
      <c r="M39" s="37">
        <v>7722.8580000000002</v>
      </c>
      <c r="N39" s="38">
        <v>9922.7080000000005</v>
      </c>
      <c r="O39" s="36">
        <v>9232.5939999999991</v>
      </c>
      <c r="P39" s="36">
        <v>314.07600000000002</v>
      </c>
      <c r="Q39" s="36">
        <v>43584.567999999999</v>
      </c>
      <c r="R39" s="39">
        <v>85.081999999999994</v>
      </c>
    </row>
    <row r="40" spans="1:18" s="7" customFormat="1" ht="14.5">
      <c r="A40" s="35">
        <v>2013</v>
      </c>
      <c r="B40" s="36">
        <v>915074.57700000005</v>
      </c>
      <c r="C40" s="37">
        <v>786812.63199999998</v>
      </c>
      <c r="D40" s="37">
        <v>286588.48700000002</v>
      </c>
      <c r="E40" s="37">
        <v>110809.34699999999</v>
      </c>
      <c r="F40" s="37">
        <v>48214.264999999999</v>
      </c>
      <c r="G40" s="37">
        <v>139853.14000000001</v>
      </c>
      <c r="H40" s="37">
        <v>3542.9549999999999</v>
      </c>
      <c r="I40" s="38">
        <v>86089.899000000005</v>
      </c>
      <c r="J40" s="37">
        <v>97047.043000000005</v>
      </c>
      <c r="K40" s="37">
        <v>13241.981</v>
      </c>
      <c r="L40" s="37">
        <v>5098.835</v>
      </c>
      <c r="M40" s="37">
        <v>15992.09</v>
      </c>
      <c r="N40" s="38">
        <v>7605.9440000000004</v>
      </c>
      <c r="O40" s="36">
        <v>8096.31</v>
      </c>
      <c r="P40" s="36">
        <v>328.77199999999999</v>
      </c>
      <c r="Q40" s="36">
        <v>22789.82</v>
      </c>
      <c r="R40" s="39">
        <v>85.983000000000004</v>
      </c>
    </row>
    <row r="41" spans="1:18" s="7" customFormat="1" ht="14.5">
      <c r="A41" s="35">
        <v>2014</v>
      </c>
      <c r="B41" s="36">
        <v>927523.772</v>
      </c>
      <c r="C41" s="37">
        <v>778922.65700000001</v>
      </c>
      <c r="D41" s="37">
        <v>292592.27100000001</v>
      </c>
      <c r="E41" s="37">
        <v>108472.019</v>
      </c>
      <c r="F41" s="37">
        <v>44923.457000000002</v>
      </c>
      <c r="G41" s="37">
        <v>136545.80499999999</v>
      </c>
      <c r="H41" s="37">
        <v>6516.4319999999998</v>
      </c>
      <c r="I41" s="38">
        <v>100126.784</v>
      </c>
      <c r="J41" s="37">
        <v>88622.744000000006</v>
      </c>
      <c r="K41" s="37">
        <v>9079.9259999999995</v>
      </c>
      <c r="L41" s="37">
        <v>4352.723</v>
      </c>
      <c r="M41" s="37">
        <v>20861.451000000001</v>
      </c>
      <c r="N41" s="38">
        <v>5701.7290000000003</v>
      </c>
      <c r="O41" s="36">
        <v>25300.769</v>
      </c>
      <c r="P41" s="36">
        <v>10052.914000000001</v>
      </c>
      <c r="Q41" s="36">
        <v>24624.687999999998</v>
      </c>
      <c r="R41" s="39">
        <v>83.978999999999999</v>
      </c>
    </row>
    <row r="42" spans="1:18" s="7" customFormat="1" ht="14.5">
      <c r="A42" s="40">
        <v>2015</v>
      </c>
      <c r="B42" s="41">
        <v>1026106.7560000001</v>
      </c>
      <c r="C42" s="42">
        <v>844636.603</v>
      </c>
      <c r="D42" s="42">
        <v>305778.908</v>
      </c>
      <c r="E42" s="42">
        <v>99835.444000000003</v>
      </c>
      <c r="F42" s="42">
        <v>42399.942999999999</v>
      </c>
      <c r="G42" s="42">
        <v>141855.91899999999</v>
      </c>
      <c r="H42" s="42">
        <v>2897.2689999999998</v>
      </c>
      <c r="I42" s="43">
        <v>123228.318</v>
      </c>
      <c r="J42" s="42">
        <v>106263.398</v>
      </c>
      <c r="K42" s="42">
        <v>8474.7469999999994</v>
      </c>
      <c r="L42" s="42">
        <v>2833.29</v>
      </c>
      <c r="M42" s="42">
        <v>17693.560000000001</v>
      </c>
      <c r="N42" s="43">
        <v>4807.7330000000002</v>
      </c>
      <c r="O42" s="41">
        <v>26690.53</v>
      </c>
      <c r="P42" s="41">
        <v>23254.808000000001</v>
      </c>
      <c r="Q42" s="41">
        <v>25261.417000000001</v>
      </c>
      <c r="R42" s="44">
        <v>82.314999999999998</v>
      </c>
    </row>
    <row r="43" spans="1:18" s="7" customFormat="1" ht="14.5">
      <c r="A43" s="30">
        <v>2016</v>
      </c>
      <c r="B43" s="31">
        <v>1078119.0060000001</v>
      </c>
      <c r="C43" s="32">
        <v>926200.69299999997</v>
      </c>
      <c r="D43" s="32">
        <v>324448.17700000003</v>
      </c>
      <c r="E43" s="32">
        <v>87742.857999999993</v>
      </c>
      <c r="F43" s="32">
        <v>111942.197</v>
      </c>
      <c r="G43" s="32">
        <v>159272.61900000001</v>
      </c>
      <c r="H43" s="32">
        <v>16316.927</v>
      </c>
      <c r="I43" s="33">
        <v>88149.964999999997</v>
      </c>
      <c r="J43" s="32">
        <v>72755.866999999998</v>
      </c>
      <c r="K43" s="32">
        <v>6411.7759999999998</v>
      </c>
      <c r="L43" s="32">
        <v>1553.924</v>
      </c>
      <c r="M43" s="32">
        <v>12049.432000000001</v>
      </c>
      <c r="N43" s="33">
        <v>3001.2</v>
      </c>
      <c r="O43" s="31">
        <v>30495.883999999998</v>
      </c>
      <c r="P43" s="31">
        <v>30079.928</v>
      </c>
      <c r="Q43" s="31">
        <v>18586.633000000002</v>
      </c>
      <c r="R43" s="34">
        <v>85.909000000000006</v>
      </c>
    </row>
    <row r="44" spans="1:18" s="7" customFormat="1" ht="14.5">
      <c r="A44" s="35">
        <v>2017</v>
      </c>
      <c r="B44" s="36">
        <v>1118167.2549999999</v>
      </c>
      <c r="C44" s="37">
        <v>913445.80799999996</v>
      </c>
      <c r="D44" s="37">
        <v>319220.66899999999</v>
      </c>
      <c r="E44" s="37">
        <v>90970.58</v>
      </c>
      <c r="F44" s="37">
        <v>147873.41200000001</v>
      </c>
      <c r="G44" s="37">
        <v>160368.016</v>
      </c>
      <c r="H44" s="37">
        <v>3875.623</v>
      </c>
      <c r="I44" s="38">
        <v>64934.252</v>
      </c>
      <c r="J44" s="37">
        <v>97233.214999999997</v>
      </c>
      <c r="K44" s="37">
        <v>8624.4150000000009</v>
      </c>
      <c r="L44" s="37">
        <v>3605.6709999999998</v>
      </c>
      <c r="M44" s="37">
        <v>11678.867</v>
      </c>
      <c r="N44" s="38">
        <v>2606.4929999999999</v>
      </c>
      <c r="O44" s="36">
        <v>28188.535</v>
      </c>
      <c r="P44" s="36">
        <v>44452.822999999997</v>
      </c>
      <c r="Q44" s="36">
        <v>34846.875</v>
      </c>
      <c r="R44" s="39">
        <v>81.691000000000003</v>
      </c>
    </row>
    <row r="45" spans="1:18" s="7" customFormat="1" ht="14.5">
      <c r="A45" s="35">
        <v>2018</v>
      </c>
      <c r="B45" s="36">
        <v>1116280.986</v>
      </c>
      <c r="C45" s="37">
        <v>820993.68400000001</v>
      </c>
      <c r="D45" s="37">
        <v>323174.08799999999</v>
      </c>
      <c r="E45" s="37">
        <v>72030.035000000003</v>
      </c>
      <c r="F45" s="37">
        <v>58202.449000000001</v>
      </c>
      <c r="G45" s="37">
        <v>162005.08100000001</v>
      </c>
      <c r="H45" s="37">
        <v>1470.922</v>
      </c>
      <c r="I45" s="38">
        <v>65980.452999999994</v>
      </c>
      <c r="J45" s="37">
        <v>122831.81299999999</v>
      </c>
      <c r="K45" s="37">
        <v>7007.8109999999997</v>
      </c>
      <c r="L45" s="37">
        <v>2803.2539999999999</v>
      </c>
      <c r="M45" s="37">
        <v>11092.013000000001</v>
      </c>
      <c r="N45" s="38">
        <v>3213.1660000000002</v>
      </c>
      <c r="O45" s="36">
        <v>40901.059000000001</v>
      </c>
      <c r="P45" s="36">
        <v>95093.725999999995</v>
      </c>
      <c r="Q45" s="36">
        <v>36460.703999999998</v>
      </c>
      <c r="R45" s="39">
        <v>73.546999999999997</v>
      </c>
    </row>
    <row r="46" spans="1:18" s="7" customFormat="1" ht="14.5">
      <c r="A46" s="35">
        <v>2019</v>
      </c>
      <c r="B46" s="36">
        <v>1071923.2239999999</v>
      </c>
      <c r="C46" s="37">
        <v>752563.68200000003</v>
      </c>
      <c r="D46" s="37">
        <v>296870.77399999998</v>
      </c>
      <c r="E46" s="37">
        <v>88810.895999999993</v>
      </c>
      <c r="F46" s="37">
        <v>33230.438999999998</v>
      </c>
      <c r="G46" s="37">
        <v>150586.799</v>
      </c>
      <c r="H46" s="37">
        <v>360.12900000000002</v>
      </c>
      <c r="I46" s="38">
        <v>64292.517999999996</v>
      </c>
      <c r="J46" s="37">
        <v>107942.99400000001</v>
      </c>
      <c r="K46" s="37">
        <v>2742.28</v>
      </c>
      <c r="L46" s="37">
        <v>1556.307</v>
      </c>
      <c r="M46" s="37">
        <v>7886.1480000000001</v>
      </c>
      <c r="N46" s="38">
        <v>1872.5940000000001</v>
      </c>
      <c r="O46" s="36">
        <v>19928.032999999999</v>
      </c>
      <c r="P46" s="36">
        <v>187735.07800000001</v>
      </c>
      <c r="Q46" s="36">
        <v>3753.4369999999999</v>
      </c>
      <c r="R46" s="39">
        <v>70.206999999999994</v>
      </c>
    </row>
    <row r="47" spans="1:18" s="7" customFormat="1" ht="14.5">
      <c r="A47" s="40">
        <v>2020</v>
      </c>
      <c r="B47" s="41">
        <v>980259.17500000005</v>
      </c>
      <c r="C47" s="42">
        <v>676408.93299999996</v>
      </c>
      <c r="D47" s="42">
        <v>325808.48300000001</v>
      </c>
      <c r="E47" s="42">
        <v>77562.698000000004</v>
      </c>
      <c r="F47" s="42">
        <v>0</v>
      </c>
      <c r="G47" s="42">
        <v>129699.001</v>
      </c>
      <c r="H47" s="42">
        <v>3906.549</v>
      </c>
      <c r="I47" s="43">
        <v>59734.99</v>
      </c>
      <c r="J47" s="42">
        <v>88493.252999999997</v>
      </c>
      <c r="K47" s="42">
        <v>350.74799999999999</v>
      </c>
      <c r="L47" s="42">
        <v>1582.0619999999999</v>
      </c>
      <c r="M47" s="42">
        <v>14563.905000000001</v>
      </c>
      <c r="N47" s="43">
        <v>1480.9929999999999</v>
      </c>
      <c r="O47" s="41">
        <v>24548.642</v>
      </c>
      <c r="P47" s="41">
        <v>173043.639</v>
      </c>
      <c r="Q47" s="41">
        <v>17764.708999999999</v>
      </c>
      <c r="R47" s="44">
        <v>69.003</v>
      </c>
    </row>
    <row r="48" spans="1:18" s="7" customFormat="1" ht="14.5">
      <c r="A48" s="30">
        <v>2021</v>
      </c>
      <c r="B48" s="31">
        <v>960146.63600000006</v>
      </c>
      <c r="C48" s="32">
        <v>574429.68299999996</v>
      </c>
      <c r="D48" s="32">
        <v>281773.745</v>
      </c>
      <c r="E48" s="32">
        <v>56809.214999999997</v>
      </c>
      <c r="F48" s="32">
        <v>0</v>
      </c>
      <c r="G48" s="32">
        <v>101720.732</v>
      </c>
      <c r="H48" s="32">
        <v>6574.3069999999998</v>
      </c>
      <c r="I48" s="33">
        <v>50610.125999999997</v>
      </c>
      <c r="J48" s="32">
        <v>113932.19100000001</v>
      </c>
      <c r="K48" s="32">
        <v>585.52300000000002</v>
      </c>
      <c r="L48" s="32">
        <v>314.63499999999999</v>
      </c>
      <c r="M48" s="32">
        <v>22008.948</v>
      </c>
      <c r="N48" s="33">
        <v>0</v>
      </c>
      <c r="O48" s="31">
        <v>32000.143</v>
      </c>
      <c r="P48" s="31">
        <v>204188.00099999999</v>
      </c>
      <c r="Q48" s="31">
        <v>35596.618000000002</v>
      </c>
      <c r="R48" s="34">
        <v>59.826999999999998</v>
      </c>
    </row>
    <row r="49" spans="1:18" s="7" customFormat="1" ht="14.5">
      <c r="A49" s="35">
        <v>2022</v>
      </c>
      <c r="B49" s="36">
        <v>1031282.986</v>
      </c>
      <c r="C49" s="37">
        <v>695121.696</v>
      </c>
      <c r="D49" s="37">
        <v>339567.00199999998</v>
      </c>
      <c r="E49" s="37">
        <v>85235.384999999995</v>
      </c>
      <c r="F49" s="37">
        <v>0</v>
      </c>
      <c r="G49" s="37">
        <v>103656.478</v>
      </c>
      <c r="H49" s="37">
        <v>3529.038</v>
      </c>
      <c r="I49" s="38">
        <v>48211.86</v>
      </c>
      <c r="J49" s="37">
        <v>91417.994000000006</v>
      </c>
      <c r="K49" s="37">
        <v>0</v>
      </c>
      <c r="L49" s="37">
        <v>649.21600000000001</v>
      </c>
      <c r="M49" s="37">
        <v>20668.172999999999</v>
      </c>
      <c r="N49" s="38">
        <v>580.67499999999995</v>
      </c>
      <c r="O49" s="36">
        <v>27703.202000000001</v>
      </c>
      <c r="P49" s="36">
        <v>204603.66899999999</v>
      </c>
      <c r="Q49" s="36">
        <v>12436.424999999999</v>
      </c>
      <c r="R49" s="39">
        <v>67.403999999999996</v>
      </c>
    </row>
    <row r="50" spans="1:18" s="7" customFormat="1" ht="15" thickBot="1">
      <c r="A50" s="45">
        <v>2023</v>
      </c>
      <c r="B50" s="46">
        <v>1005769.723</v>
      </c>
      <c r="C50" s="47">
        <v>723134.42099999997</v>
      </c>
      <c r="D50" s="47">
        <v>327603.49099999998</v>
      </c>
      <c r="E50" s="47">
        <v>109866.196</v>
      </c>
      <c r="F50" s="47">
        <v>0</v>
      </c>
      <c r="G50" s="47">
        <v>96195.292000000001</v>
      </c>
      <c r="H50" s="47">
        <v>4910.5020000000004</v>
      </c>
      <c r="I50" s="48">
        <v>67782.347999999998</v>
      </c>
      <c r="J50" s="47">
        <v>69223.667000000001</v>
      </c>
      <c r="K50" s="47">
        <v>1031.761</v>
      </c>
      <c r="L50" s="47">
        <v>1420.877</v>
      </c>
      <c r="M50" s="47">
        <v>24581.210999999999</v>
      </c>
      <c r="N50" s="48">
        <v>0</v>
      </c>
      <c r="O50" s="46">
        <v>16047.558000000001</v>
      </c>
      <c r="P50" s="46">
        <v>192407.83499999999</v>
      </c>
      <c r="Q50" s="46">
        <v>4956.2420000000002</v>
      </c>
      <c r="R50" s="49">
        <v>71.899000000000001</v>
      </c>
    </row>
    <row r="51" spans="1:18" s="7" customFormat="1" ht="14.5">
      <c r="A51" s="50" t="s">
        <v>41</v>
      </c>
      <c r="B51" s="37"/>
      <c r="C51" s="37"/>
      <c r="D51" s="37"/>
      <c r="E51" s="37"/>
      <c r="F51" s="37"/>
      <c r="G51" s="37"/>
      <c r="H51" s="37"/>
      <c r="I51" s="37"/>
      <c r="J51" s="51" t="s">
        <v>42</v>
      </c>
      <c r="K51" s="37"/>
      <c r="L51" s="37"/>
      <c r="M51" s="37"/>
      <c r="N51" s="37"/>
      <c r="O51" s="37"/>
      <c r="P51" s="37"/>
      <c r="Q51" s="37"/>
      <c r="R51" s="39"/>
    </row>
    <row r="52" spans="1:18" s="7" customFormat="1" ht="14.5">
      <c r="A52" s="7" t="s">
        <v>43</v>
      </c>
      <c r="J52" s="7" t="s">
        <v>44</v>
      </c>
    </row>
    <row r="53" spans="1:18" s="7" customFormat="1" ht="14.5">
      <c r="D53" s="52">
        <f>D50/$B$50</f>
        <v>0.32572415286356754</v>
      </c>
      <c r="E53" s="52">
        <f t="shared" ref="E53:Q53" si="0">E50/$B$50</f>
        <v>0.10923593491390075</v>
      </c>
      <c r="F53" s="52">
        <f t="shared" si="0"/>
        <v>0</v>
      </c>
      <c r="G53" s="52">
        <f t="shared" si="0"/>
        <v>9.5643455753539316E-2</v>
      </c>
      <c r="H53" s="52">
        <f t="shared" si="0"/>
        <v>4.8823322950635297E-3</v>
      </c>
      <c r="I53" s="52">
        <f t="shared" si="0"/>
        <v>6.7393506137587322E-2</v>
      </c>
      <c r="J53" s="52"/>
      <c r="K53" s="52">
        <f>K50/$B$50</f>
        <v>1.0258421748096309E-3</v>
      </c>
      <c r="L53" s="52">
        <f t="shared" si="0"/>
        <v>1.4127259625213433E-3</v>
      </c>
      <c r="M53" s="52">
        <f t="shared" si="0"/>
        <v>2.4440197828464558E-2</v>
      </c>
      <c r="N53" s="52">
        <f t="shared" si="0"/>
        <v>0</v>
      </c>
      <c r="O53" s="52">
        <f t="shared" si="0"/>
        <v>1.5955499189350724E-2</v>
      </c>
      <c r="P53" s="52">
        <f t="shared" si="0"/>
        <v>0.19130406354457341</v>
      </c>
      <c r="Q53" s="52">
        <f t="shared" si="0"/>
        <v>4.9278099018695556E-3</v>
      </c>
    </row>
    <row r="54" spans="1:18" s="7" customFormat="1" ht="14.5">
      <c r="D54" s="22" t="s">
        <v>13</v>
      </c>
      <c r="E54" s="23" t="s">
        <v>14</v>
      </c>
      <c r="F54" s="23" t="s">
        <v>15</v>
      </c>
      <c r="G54" s="23" t="s">
        <v>16</v>
      </c>
      <c r="H54" s="23" t="s">
        <v>17</v>
      </c>
      <c r="I54" s="23" t="s">
        <v>18</v>
      </c>
      <c r="J54" s="21" t="s">
        <v>19</v>
      </c>
      <c r="K54" s="23" t="s">
        <v>20</v>
      </c>
      <c r="L54" s="23" t="s">
        <v>21</v>
      </c>
      <c r="M54" s="23" t="s">
        <v>22</v>
      </c>
      <c r="N54" s="23" t="s">
        <v>23</v>
      </c>
      <c r="O54" s="20" t="s">
        <v>24</v>
      </c>
      <c r="P54" s="20" t="s">
        <v>25</v>
      </c>
      <c r="Q54" s="20" t="s">
        <v>26</v>
      </c>
    </row>
    <row r="55" spans="1:18">
      <c r="A55" s="7"/>
      <c r="B55" s="7"/>
      <c r="C55" s="7"/>
      <c r="D55" s="7">
        <f>C50/B50</f>
        <v>0.7189860705321709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>
      <c r="O56" s="2"/>
    </row>
    <row r="57" spans="1:18">
      <c r="O57" s="2"/>
    </row>
    <row r="58" spans="1:18">
      <c r="O58" s="2"/>
    </row>
    <row r="59" spans="1:18">
      <c r="O59" s="2"/>
    </row>
    <row r="60" spans="1:18">
      <c r="O60" s="2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Seungho Jeon</dc:creator>
  <cp:lastModifiedBy>Seungho Jeon</cp:lastModifiedBy>
  <dcterms:created xsi:type="dcterms:W3CDTF">2026-03-26T08:20:29Z</dcterms:created>
  <dcterms:modified xsi:type="dcterms:W3CDTF">2026-03-26T08:27:24Z</dcterms:modified>
</cp:coreProperties>
</file>