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"/>
    </mc:Choice>
  </mc:AlternateContent>
  <xr:revisionPtr revIDLastSave="0" documentId="13_ncr:1_{A4D2B5FE-E53F-40FA-A270-FD66F63CA44D}" xr6:coauthVersionLast="47" xr6:coauthVersionMax="47" xr10:uidLastSave="{00000000-0000-0000-0000-000000000000}"/>
  <bookViews>
    <workbookView xWindow="57495" yWindow="0" windowWidth="19410" windowHeight="20985" xr2:uid="{F54B2F44-06BE-4BFE-8C64-D9E3AB5170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37" i="1"/>
  <c r="H29" i="1"/>
  <c r="F23" i="1"/>
  <c r="F8" i="1"/>
  <c r="F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7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I23" i="1"/>
  <c r="H27" i="1" s="1"/>
</calcChain>
</file>

<file path=xl/sharedStrings.xml><?xml version="1.0" encoding="utf-8"?>
<sst xmlns="http://schemas.openxmlformats.org/spreadsheetml/2006/main" count="18" uniqueCount="15">
  <si>
    <t>총비용</t>
    <phoneticPr fontId="1" type="noConversion"/>
  </si>
  <si>
    <t>할인율</t>
    <phoneticPr fontId="1" type="noConversion"/>
  </si>
  <si>
    <t>현재가치</t>
    <phoneticPr fontId="1" type="noConversion"/>
  </si>
  <si>
    <t>차량구입비 (CAPEX)</t>
    <phoneticPr fontId="1" type="noConversion"/>
  </si>
  <si>
    <r>
      <t>운영비 (OPEX</t>
    </r>
    <r>
      <rPr>
        <vertAlign val="subscript"/>
        <sz val="11"/>
        <color theme="1"/>
        <rFont val="맑은 고딕"/>
        <family val="3"/>
        <charset val="129"/>
        <scheme val="minor"/>
      </rPr>
      <t>t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</si>
  <si>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주행거리</t>
    <phoneticPr fontId="1" type="noConversion"/>
  </si>
  <si>
    <t>단위비용</t>
    <phoneticPr fontId="1" type="noConversion"/>
  </si>
  <si>
    <t>휘발유가격</t>
    <phoneticPr fontId="1" type="noConversion"/>
  </si>
  <si>
    <t>연비</t>
    <phoneticPr fontId="1" type="noConversion"/>
  </si>
  <si>
    <t>원/liter</t>
    <phoneticPr fontId="1" type="noConversion"/>
  </si>
  <si>
    <t>km/liter</t>
    <phoneticPr fontId="1" type="noConversion"/>
  </si>
  <si>
    <t>km</t>
    <phoneticPr fontId="1" type="noConversion"/>
  </si>
  <si>
    <t>자가용 이용비용</t>
    <phoneticPr fontId="1" type="noConversion"/>
  </si>
  <si>
    <t>연료비용</t>
    <phoneticPr fontId="1" type="noConversion"/>
  </si>
  <si>
    <t>통행료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</si>
</sst>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vertical="center"/>
    </xf>
    <xf numFmtId="1" fontId="0" fillId="2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3658-B13C-4E78-AF4A-E8F744334A5D}">
  <dimension ref="A2:I40"/>
  <sheetViews>
    <sheetView tabSelected="1" workbookViewId="0">
      <selection activeCell="C41" sqref="C41"/>
    </sheetView>
  </sheetViews>
  <sheetFormatPr defaultRowHeight="17" x14ac:dyDescent="0.45"/>
  <cols>
    <col min="2" max="2" width="19.33203125" bestFit="1" customWidth="1"/>
    <col min="3" max="3" width="14.58203125" bestFit="1" customWidth="1"/>
    <col min="4" max="4" width="9.5" bestFit="1" customWidth="1"/>
    <col min="5" max="5" width="11" bestFit="1" customWidth="1"/>
    <col min="6" max="6" width="9.5" bestFit="1" customWidth="1"/>
    <col min="8" max="8" width="11" bestFit="1" customWidth="1"/>
  </cols>
  <sheetData>
    <row r="2" spans="1:9" x14ac:dyDescent="0.45">
      <c r="A2" t="s">
        <v>1</v>
      </c>
      <c r="B2">
        <v>0.05</v>
      </c>
    </row>
    <row r="5" spans="1:9" x14ac:dyDescent="0.45">
      <c r="D5" s="2"/>
    </row>
    <row r="6" spans="1:9" x14ac:dyDescent="0.45">
      <c r="B6" t="s">
        <v>3</v>
      </c>
      <c r="C6" s="2" t="s">
        <v>4</v>
      </c>
      <c r="D6" t="s">
        <v>0</v>
      </c>
      <c r="F6" t="s">
        <v>2</v>
      </c>
      <c r="I6" t="s">
        <v>5</v>
      </c>
    </row>
    <row r="7" spans="1:9" x14ac:dyDescent="0.45">
      <c r="A7">
        <v>0</v>
      </c>
      <c r="B7">
        <v>25000000</v>
      </c>
      <c r="D7">
        <f>SUM(B7:C7)</f>
        <v>25000000</v>
      </c>
      <c r="F7" s="1">
        <f>B7/((1+$B$2)^A7)</f>
        <v>25000000</v>
      </c>
    </row>
    <row r="8" spans="1:9" x14ac:dyDescent="0.45">
      <c r="A8">
        <v>1</v>
      </c>
      <c r="C8">
        <v>1500000</v>
      </c>
      <c r="D8">
        <f t="shared" ref="D8:D22" si="0">SUM(B8:C8)</f>
        <v>1500000</v>
      </c>
      <c r="F8" s="1">
        <f>C8/((1+$B$2)^A8)</f>
        <v>1428571.4285714284</v>
      </c>
      <c r="H8">
        <v>1</v>
      </c>
      <c r="I8">
        <v>15000</v>
      </c>
    </row>
    <row r="9" spans="1:9" x14ac:dyDescent="0.45">
      <c r="A9">
        <v>2</v>
      </c>
      <c r="C9">
        <v>1500000</v>
      </c>
      <c r="D9">
        <f t="shared" si="0"/>
        <v>1500000</v>
      </c>
      <c r="F9" s="1">
        <f>C9/((1+$B$2)^A9)</f>
        <v>1360544.2176870748</v>
      </c>
      <c r="H9">
        <v>2</v>
      </c>
      <c r="I9">
        <v>15000</v>
      </c>
    </row>
    <row r="10" spans="1:9" x14ac:dyDescent="0.45">
      <c r="A10">
        <v>3</v>
      </c>
      <c r="C10">
        <v>1500000</v>
      </c>
      <c r="D10">
        <f t="shared" si="0"/>
        <v>1500000</v>
      </c>
      <c r="F10" s="1">
        <f>C10/((1+$B$2)^A10)</f>
        <v>1295756.3977972139</v>
      </c>
      <c r="H10">
        <v>3</v>
      </c>
      <c r="I10">
        <v>15000</v>
      </c>
    </row>
    <row r="11" spans="1:9" x14ac:dyDescent="0.45">
      <c r="A11">
        <v>4</v>
      </c>
      <c r="C11">
        <v>1500000</v>
      </c>
      <c r="D11">
        <f t="shared" si="0"/>
        <v>1500000</v>
      </c>
      <c r="F11" s="1">
        <f>C11/((1+$B$2)^A11)</f>
        <v>1234053.7121878229</v>
      </c>
      <c r="H11">
        <v>4</v>
      </c>
      <c r="I11">
        <v>15000</v>
      </c>
    </row>
    <row r="12" spans="1:9" x14ac:dyDescent="0.45">
      <c r="A12">
        <v>5</v>
      </c>
      <c r="C12">
        <v>1500000</v>
      </c>
      <c r="D12">
        <f t="shared" si="0"/>
        <v>1500000</v>
      </c>
      <c r="F12" s="1">
        <f>C12/((1+$B$2)^A12)</f>
        <v>1175289.2497026885</v>
      </c>
      <c r="H12">
        <v>5</v>
      </c>
      <c r="I12">
        <v>15000</v>
      </c>
    </row>
    <row r="13" spans="1:9" x14ac:dyDescent="0.45">
      <c r="A13">
        <v>6</v>
      </c>
      <c r="C13">
        <v>1500000</v>
      </c>
      <c r="D13">
        <f t="shared" si="0"/>
        <v>1500000</v>
      </c>
      <c r="F13" s="1">
        <f>C13/((1+$B$2)^A13)</f>
        <v>1119323.0949549414</v>
      </c>
      <c r="H13">
        <v>6</v>
      </c>
      <c r="I13">
        <v>15000</v>
      </c>
    </row>
    <row r="14" spans="1:9" x14ac:dyDescent="0.45">
      <c r="A14">
        <v>7</v>
      </c>
      <c r="C14">
        <v>1500000</v>
      </c>
      <c r="D14">
        <f t="shared" si="0"/>
        <v>1500000</v>
      </c>
      <c r="F14" s="1">
        <f>C14/((1+$B$2)^A14)</f>
        <v>1066021.9951951823</v>
      </c>
      <c r="H14">
        <v>7</v>
      </c>
      <c r="I14">
        <v>15000</v>
      </c>
    </row>
    <row r="15" spans="1:9" x14ac:dyDescent="0.45">
      <c r="A15">
        <v>8</v>
      </c>
      <c r="C15">
        <v>1500000</v>
      </c>
      <c r="D15">
        <f t="shared" si="0"/>
        <v>1500000</v>
      </c>
      <c r="F15" s="1">
        <f>C15/((1+$B$2)^A15)</f>
        <v>1015259.0430430308</v>
      </c>
      <c r="H15">
        <v>8</v>
      </c>
      <c r="I15">
        <v>15000</v>
      </c>
    </row>
    <row r="16" spans="1:9" x14ac:dyDescent="0.45">
      <c r="A16">
        <v>9</v>
      </c>
      <c r="C16">
        <v>1500000</v>
      </c>
      <c r="D16">
        <f t="shared" si="0"/>
        <v>1500000</v>
      </c>
      <c r="F16" s="1">
        <f>C16/((1+$B$2)^A16)</f>
        <v>966913.37432669592</v>
      </c>
      <c r="H16">
        <v>9</v>
      </c>
      <c r="I16">
        <v>15000</v>
      </c>
    </row>
    <row r="17" spans="1:9" x14ac:dyDescent="0.45">
      <c r="A17">
        <v>10</v>
      </c>
      <c r="C17">
        <v>1500000</v>
      </c>
      <c r="D17">
        <f t="shared" si="0"/>
        <v>1500000</v>
      </c>
      <c r="F17" s="1">
        <f>C17/((1+$B$2)^A17)</f>
        <v>920869.88031113893</v>
      </c>
      <c r="H17">
        <v>10</v>
      </c>
      <c r="I17">
        <v>15000</v>
      </c>
    </row>
    <row r="18" spans="1:9" x14ac:dyDescent="0.45">
      <c r="A18">
        <v>11</v>
      </c>
      <c r="C18">
        <v>1500000</v>
      </c>
      <c r="D18">
        <f t="shared" si="0"/>
        <v>1500000</v>
      </c>
      <c r="F18" s="1">
        <f>C18/((1+$B$2)^A18)</f>
        <v>877018.93362965609</v>
      </c>
      <c r="H18">
        <v>11</v>
      </c>
      <c r="I18">
        <v>15000</v>
      </c>
    </row>
    <row r="19" spans="1:9" x14ac:dyDescent="0.45">
      <c r="A19">
        <v>12</v>
      </c>
      <c r="C19">
        <v>1500000</v>
      </c>
      <c r="D19">
        <f t="shared" si="0"/>
        <v>1500000</v>
      </c>
      <c r="F19" s="1">
        <f>C19/((1+$B$2)^A19)</f>
        <v>835256.12726633926</v>
      </c>
      <c r="H19">
        <v>12</v>
      </c>
      <c r="I19">
        <v>15000</v>
      </c>
    </row>
    <row r="20" spans="1:9" x14ac:dyDescent="0.45">
      <c r="A20">
        <v>13</v>
      </c>
      <c r="C20">
        <v>1500000</v>
      </c>
      <c r="D20">
        <f t="shared" si="0"/>
        <v>1500000</v>
      </c>
      <c r="F20" s="1">
        <f>C20/((1+$B$2)^A20)</f>
        <v>795482.02596794197</v>
      </c>
      <c r="H20">
        <v>13</v>
      </c>
      <c r="I20">
        <v>15000</v>
      </c>
    </row>
    <row r="21" spans="1:9" x14ac:dyDescent="0.45">
      <c r="A21">
        <v>14</v>
      </c>
      <c r="C21">
        <v>1500000</v>
      </c>
      <c r="D21">
        <f t="shared" si="0"/>
        <v>1500000</v>
      </c>
      <c r="F21" s="1">
        <f>C21/((1+$B$2)^A21)</f>
        <v>757601.92949327826</v>
      </c>
      <c r="H21">
        <v>14</v>
      </c>
      <c r="I21">
        <v>15000</v>
      </c>
    </row>
    <row r="22" spans="1:9" x14ac:dyDescent="0.45">
      <c r="A22">
        <v>15</v>
      </c>
      <c r="C22">
        <v>1500000</v>
      </c>
      <c r="D22">
        <f t="shared" si="0"/>
        <v>1500000</v>
      </c>
      <c r="F22" s="1">
        <f>C22/((1+$B$2)^A22)</f>
        <v>721525.64713645529</v>
      </c>
      <c r="H22">
        <v>15</v>
      </c>
      <c r="I22">
        <v>15000</v>
      </c>
    </row>
    <row r="23" spans="1:9" x14ac:dyDescent="0.45">
      <c r="F23" s="1">
        <f>SUM(F7:F22)</f>
        <v>40569487.057270892</v>
      </c>
      <c r="I23">
        <f>SUM(I8:I22)</f>
        <v>225000</v>
      </c>
    </row>
    <row r="27" spans="1:9" x14ac:dyDescent="0.45">
      <c r="G27" t="s">
        <v>6</v>
      </c>
      <c r="H27" s="1">
        <f>F23/I23</f>
        <v>180.30883136564842</v>
      </c>
    </row>
    <row r="28" spans="1:9" x14ac:dyDescent="0.45">
      <c r="G28" t="s">
        <v>5</v>
      </c>
      <c r="H28">
        <v>284</v>
      </c>
    </row>
    <row r="29" spans="1:9" x14ac:dyDescent="0.45">
      <c r="G29" t="s">
        <v>12</v>
      </c>
      <c r="H29" s="3">
        <f>H27*H28</f>
        <v>51207.708107844148</v>
      </c>
    </row>
    <row r="34" spans="2:4" x14ac:dyDescent="0.45">
      <c r="B34" t="s">
        <v>7</v>
      </c>
      <c r="C34">
        <v>1787</v>
      </c>
      <c r="D34" t="s">
        <v>9</v>
      </c>
    </row>
    <row r="35" spans="2:4" x14ac:dyDescent="0.45">
      <c r="B35" t="s">
        <v>8</v>
      </c>
      <c r="C35">
        <v>15</v>
      </c>
      <c r="D35" t="s">
        <v>10</v>
      </c>
    </row>
    <row r="36" spans="2:4" x14ac:dyDescent="0.45">
      <c r="B36" t="s">
        <v>5</v>
      </c>
      <c r="C36">
        <v>284</v>
      </c>
      <c r="D36" t="s">
        <v>11</v>
      </c>
    </row>
    <row r="37" spans="2:4" x14ac:dyDescent="0.45">
      <c r="B37" t="s">
        <v>13</v>
      </c>
      <c r="C37" s="1">
        <f>C34*(1/C35)*C36</f>
        <v>33833.866666666661</v>
      </c>
    </row>
    <row r="38" spans="2:4" x14ac:dyDescent="0.45">
      <c r="B38" t="s">
        <v>14</v>
      </c>
      <c r="C38">
        <v>15300</v>
      </c>
    </row>
    <row r="40" spans="2:4" x14ac:dyDescent="0.45">
      <c r="B40" t="s">
        <v>0</v>
      </c>
      <c r="C40" s="1">
        <f>SUM(H29,C37,C38)</f>
        <v>100341.57477451081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2026-03-24T02:01:04Z</dcterms:created>
  <dcterms:modified xsi:type="dcterms:W3CDTF">2026-03-24T08:52:13Z</dcterms:modified>
</cp:coreProperties>
</file>