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KTOP\Desktop\Teaching\재정학\03_Exams\[1] midterm\오전반 시험 결과 및 성적\"/>
    </mc:Choice>
  </mc:AlternateContent>
  <xr:revisionPtr revIDLastSave="0" documentId="13_ncr:1_{86DEC721-8AEA-474B-BC79-87FD3C2E5E2E}" xr6:coauthVersionLast="47" xr6:coauthVersionMax="47" xr10:uidLastSave="{00000000-0000-0000-0000-000000000000}"/>
  <bookViews>
    <workbookView xWindow="57480" yWindow="-120" windowWidth="38640" windowHeight="21120" activeTab="1" xr2:uid="{00000000-000D-0000-FFFF-FFFF00000000}"/>
  </bookViews>
  <sheets>
    <sheet name="중간고사 원본" sheetId="2" r:id="rId1"/>
    <sheet name="중간고사 통계" sheetId="1" r:id="rId2"/>
  </sheets>
  <definedNames>
    <definedName name="_xlnm._FilterDatabase" localSheetId="1" hidden="1">'중간고사 통계'!$A$4:$L$4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29" i="1"/>
  <c r="J31" i="1"/>
  <c r="J32" i="1"/>
  <c r="J33" i="1"/>
  <c r="J34" i="1"/>
  <c r="J5" i="1"/>
  <c r="H13" i="1"/>
  <c r="P22" i="1"/>
  <c r="R23" i="1" s="1"/>
  <c r="R11" i="1"/>
  <c r="R12" i="1"/>
  <c r="R10" i="1"/>
  <c r="G24" i="1"/>
  <c r="H24" i="1" s="1"/>
  <c r="G26" i="1"/>
  <c r="H26" i="1" s="1"/>
  <c r="G32" i="1"/>
  <c r="H32" i="1" s="1"/>
  <c r="G25" i="1"/>
  <c r="H25" i="1" s="1"/>
  <c r="G30" i="1"/>
  <c r="H30" i="1" s="1"/>
  <c r="G28" i="1"/>
  <c r="H28" i="1" s="1"/>
  <c r="G33" i="1"/>
  <c r="H33" i="1" s="1"/>
  <c r="G22" i="1"/>
  <c r="H22" i="1" s="1"/>
  <c r="G23" i="1"/>
  <c r="H23" i="1" s="1"/>
  <c r="G29" i="1"/>
  <c r="H29" i="1" s="1"/>
  <c r="G18" i="1"/>
  <c r="H18" i="1" s="1"/>
  <c r="G19" i="1"/>
  <c r="H19" i="1" s="1"/>
  <c r="G27" i="1"/>
  <c r="H27" i="1" s="1"/>
  <c r="G20" i="1"/>
  <c r="H20" i="1" s="1"/>
  <c r="G17" i="1"/>
  <c r="H17" i="1" s="1"/>
  <c r="G21" i="1"/>
  <c r="H21" i="1" s="1"/>
  <c r="G16" i="1"/>
  <c r="H16" i="1" s="1"/>
  <c r="G15" i="1"/>
  <c r="H15" i="1" s="1"/>
  <c r="G13" i="1"/>
  <c r="G10" i="1"/>
  <c r="H10" i="1" s="1"/>
  <c r="G14" i="1"/>
  <c r="H14" i="1" s="1"/>
  <c r="G11" i="1"/>
  <c r="H11" i="1" s="1"/>
  <c r="G12" i="1"/>
  <c r="H12" i="1" s="1"/>
  <c r="G9" i="1"/>
  <c r="H9" i="1" s="1"/>
  <c r="G8" i="1"/>
  <c r="H8" i="1" s="1"/>
  <c r="G6" i="1"/>
  <c r="H6" i="1" s="1"/>
  <c r="G7" i="1"/>
  <c r="H7" i="1" s="1"/>
  <c r="G5" i="1"/>
  <c r="H5" i="1" s="1"/>
  <c r="G34" i="1"/>
  <c r="H34" i="1" s="1"/>
  <c r="G31" i="1"/>
  <c r="H31" i="1" s="1"/>
  <c r="T6" i="1"/>
  <c r="T5" i="1"/>
  <c r="S6" i="1"/>
  <c r="S5" i="1"/>
  <c r="R22" i="1" l="1"/>
  <c r="R24" i="1"/>
</calcChain>
</file>

<file path=xl/sharedStrings.xml><?xml version="1.0" encoding="utf-8"?>
<sst xmlns="http://schemas.openxmlformats.org/spreadsheetml/2006/main" count="212" uniqueCount="90">
  <si>
    <t>순번</t>
  </si>
  <si>
    <t>이름</t>
  </si>
  <si>
    <t>학번</t>
  </si>
  <si>
    <t>학과</t>
  </si>
  <si>
    <t>소속2</t>
  </si>
  <si>
    <t>소속3</t>
  </si>
  <si>
    <t>출석</t>
  </si>
  <si>
    <t>지각</t>
  </si>
  <si>
    <t>결석</t>
  </si>
  <si>
    <t>미결</t>
  </si>
  <si>
    <t>강준혁(2022##80)</t>
  </si>
  <si>
    <t>S20222680</t>
  </si>
  <si>
    <t>경제학과</t>
  </si>
  <si>
    <t>김나영(2024##10)</t>
  </si>
  <si>
    <t>S20242710</t>
  </si>
  <si>
    <t>김민서(2023##26)</t>
  </si>
  <si>
    <t>S20237226</t>
  </si>
  <si>
    <t>김성민(2023##39)</t>
  </si>
  <si>
    <t>S20232639</t>
  </si>
  <si>
    <t>김정목(2022##84)</t>
  </si>
  <si>
    <t>S20222684</t>
  </si>
  <si>
    <t>김주미(2023##46)</t>
  </si>
  <si>
    <t>S20232546</t>
  </si>
  <si>
    <t>중국어과</t>
  </si>
  <si>
    <t>김태겸(2024##31)</t>
  </si>
  <si>
    <t>S20247231</t>
  </si>
  <si>
    <t>나연우(2025##82)</t>
  </si>
  <si>
    <t>S20252282</t>
  </si>
  <si>
    <t>리 위쉐안(2024##79)</t>
  </si>
  <si>
    <t>S20242979</t>
  </si>
  <si>
    <t>리웨이션(2023##12)</t>
  </si>
  <si>
    <t>S20233012</t>
  </si>
  <si>
    <t>민동혁(2024##84)</t>
  </si>
  <si>
    <t>S20242684</t>
  </si>
  <si>
    <t>박세훈(2022##55)</t>
  </si>
  <si>
    <t>S20222655</t>
  </si>
  <si>
    <t>박용민(2020##92)</t>
  </si>
  <si>
    <t>S20202592</t>
  </si>
  <si>
    <t>송명근(2020##54)</t>
  </si>
  <si>
    <t>S20204054</t>
  </si>
  <si>
    <t>전기공학과</t>
  </si>
  <si>
    <t>쉬 민후이(2024##78)</t>
  </si>
  <si>
    <t>S20242978</t>
  </si>
  <si>
    <t>쉬애티엔쥐(2022##73)</t>
  </si>
  <si>
    <t>S20222973</t>
  </si>
  <si>
    <t>신재훈(2022##99)</t>
  </si>
  <si>
    <t>S20222699</t>
  </si>
  <si>
    <t>안우민(2024##91)</t>
  </si>
  <si>
    <t>S20242691</t>
  </si>
  <si>
    <t>안치현(2022##60)</t>
  </si>
  <si>
    <t>S20222660</t>
  </si>
  <si>
    <t>양태진(2024##29)</t>
  </si>
  <si>
    <t>S20247229</t>
  </si>
  <si>
    <t>이재량(2021##44)</t>
  </si>
  <si>
    <t>S20212644</t>
  </si>
  <si>
    <t>이준범(2022##04)</t>
  </si>
  <si>
    <t>S20222704</t>
  </si>
  <si>
    <t>이채림(2023##89)</t>
  </si>
  <si>
    <t>S20232489</t>
  </si>
  <si>
    <t>영어영문학과</t>
  </si>
  <si>
    <t>이희우(2024##33)</t>
  </si>
  <si>
    <t>S20247233</t>
  </si>
  <si>
    <t>정민종(2022##74)</t>
  </si>
  <si>
    <t>S20222674</t>
  </si>
  <si>
    <t>정유정(2022##11)</t>
  </si>
  <si>
    <t>S20222511</t>
  </si>
  <si>
    <t>조우총(2023##64)</t>
  </si>
  <si>
    <t>S20232664</t>
  </si>
  <si>
    <t>주 쉰(2024##38)</t>
  </si>
  <si>
    <t>S20242738</t>
  </si>
  <si>
    <t>채주완(2021##51)</t>
  </si>
  <si>
    <t>S20212651</t>
  </si>
  <si>
    <t>천경현(2024##30)</t>
  </si>
  <si>
    <t>S20247230</t>
  </si>
  <si>
    <t>중간고사</t>
    <phoneticPr fontId="2" type="noConversion"/>
  </si>
  <si>
    <t>평균</t>
    <phoneticPr fontId="2" type="noConversion"/>
  </si>
  <si>
    <t>표준편차</t>
    <phoneticPr fontId="2" type="noConversion"/>
  </si>
  <si>
    <t>기말고사</t>
    <phoneticPr fontId="2" type="noConversion"/>
  </si>
  <si>
    <t>중간고사</t>
    <phoneticPr fontId="2" type="noConversion"/>
  </si>
  <si>
    <t>합계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</si>
  <si>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</si>
  <si>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</si>
  <si>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</si>
  <si>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외국인</t>
    <phoneticPr fontId="2" type="noConversion"/>
  </si>
  <si>
    <r>
      <t>7</t>
    </r>
    <r>
      <rPr>
        <sz val="11"/>
        <color rgb="FF000000"/>
        <rFont val="맑은 고딕"/>
        <family val="3"/>
        <charset val="129"/>
      </rPr>
      <t>명</t>
    </r>
    <phoneticPr fontId="2" type="noConversion"/>
  </si>
  <si>
    <r>
      <t>9</t>
    </r>
    <r>
      <rPr>
        <sz val="11"/>
        <color rgb="FF000000"/>
        <rFont val="맑은 고딕"/>
        <family val="3"/>
        <charset val="129"/>
      </rPr>
      <t>명</t>
    </r>
    <phoneticPr fontId="2" type="noConversion"/>
  </si>
  <si>
    <r>
      <t>8</t>
    </r>
    <r>
      <rPr>
        <sz val="11"/>
        <color rgb="FF000000"/>
        <rFont val="맑은 고딕"/>
        <family val="3"/>
        <charset val="129"/>
      </rPr>
      <t>명</t>
    </r>
    <phoneticPr fontId="2" type="noConversion"/>
  </si>
  <si>
    <t>100환산</t>
    <phoneticPr fontId="2" type="noConversion"/>
  </si>
  <si>
    <t>빠진시간</t>
    <phoneticPr fontId="2" type="noConversion"/>
  </si>
  <si>
    <t>출석시간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</si>
</sst>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F0F1-EA86-457B-9CE6-C5A8236118F0}">
  <dimension ref="A5:K35"/>
  <sheetViews>
    <sheetView workbookViewId="0">
      <selection activeCell="G42" sqref="G42"/>
    </sheetView>
  </sheetViews>
  <sheetFormatPr defaultRowHeight="14.5" x14ac:dyDescent="0.35"/>
  <sheetData>
    <row r="5" spans="1:11" ht="17" x14ac:dyDescent="0.45">
      <c r="A5" s="1" t="s">
        <v>0</v>
      </c>
      <c r="B5" s="1" t="s">
        <v>1</v>
      </c>
      <c r="C5" s="1" t="s">
        <v>2</v>
      </c>
      <c r="D5" s="1" t="s">
        <v>3</v>
      </c>
      <c r="E5" s="2" t="s">
        <v>74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35">
      <c r="A6">
        <v>9</v>
      </c>
      <c r="B6" t="s">
        <v>28</v>
      </c>
      <c r="C6" t="s">
        <v>29</v>
      </c>
      <c r="D6" t="s">
        <v>12</v>
      </c>
      <c r="E6">
        <v>20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24</v>
      </c>
      <c r="B7" t="s">
        <v>60</v>
      </c>
      <c r="C7" t="s">
        <v>61</v>
      </c>
      <c r="D7" t="s">
        <v>12</v>
      </c>
      <c r="E7">
        <v>23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6</v>
      </c>
      <c r="B8" t="s">
        <v>21</v>
      </c>
      <c r="C8" t="s">
        <v>22</v>
      </c>
      <c r="D8" t="s">
        <v>23</v>
      </c>
      <c r="E8">
        <v>24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10</v>
      </c>
      <c r="B9" t="s">
        <v>30</v>
      </c>
      <c r="C9" t="s">
        <v>31</v>
      </c>
      <c r="D9" t="s">
        <v>12</v>
      </c>
      <c r="E9">
        <v>25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5</v>
      </c>
      <c r="B10" t="s">
        <v>19</v>
      </c>
      <c r="C10" t="s">
        <v>20</v>
      </c>
      <c r="D10" t="s">
        <v>12</v>
      </c>
      <c r="E10">
        <v>26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8</v>
      </c>
      <c r="B11" t="s">
        <v>26</v>
      </c>
      <c r="C11" t="s">
        <v>27</v>
      </c>
      <c r="D11" t="s">
        <v>12</v>
      </c>
      <c r="E11">
        <v>26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15</v>
      </c>
      <c r="B12" t="s">
        <v>41</v>
      </c>
      <c r="C12" t="s">
        <v>42</v>
      </c>
      <c r="D12" t="s">
        <v>12</v>
      </c>
      <c r="E12">
        <v>28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28</v>
      </c>
      <c r="B13" t="s">
        <v>68</v>
      </c>
      <c r="C13" t="s">
        <v>69</v>
      </c>
      <c r="D13" t="s">
        <v>12</v>
      </c>
      <c r="E13">
        <v>28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7</v>
      </c>
      <c r="B14" t="s">
        <v>24</v>
      </c>
      <c r="C14" t="s">
        <v>25</v>
      </c>
      <c r="D14" t="s">
        <v>12</v>
      </c>
      <c r="E14">
        <v>28.5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30</v>
      </c>
      <c r="B15" t="s">
        <v>72</v>
      </c>
      <c r="C15" t="s">
        <v>73</v>
      </c>
      <c r="D15" t="s">
        <v>12</v>
      </c>
      <c r="E15">
        <v>30.5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4</v>
      </c>
      <c r="B16" t="s">
        <v>17</v>
      </c>
      <c r="C16" t="s">
        <v>18</v>
      </c>
      <c r="D16" t="s">
        <v>12</v>
      </c>
      <c r="E16">
        <v>32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12</v>
      </c>
      <c r="B17" t="s">
        <v>34</v>
      </c>
      <c r="C17" t="s">
        <v>35</v>
      </c>
      <c r="D17" t="s">
        <v>12</v>
      </c>
      <c r="E17">
        <v>33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29</v>
      </c>
      <c r="B18" t="s">
        <v>70</v>
      </c>
      <c r="C18" t="s">
        <v>71</v>
      </c>
      <c r="D18" t="s">
        <v>12</v>
      </c>
      <c r="E18">
        <v>35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27</v>
      </c>
      <c r="B19" t="s">
        <v>66</v>
      </c>
      <c r="C19" t="s">
        <v>67</v>
      </c>
      <c r="D19" t="s">
        <v>12</v>
      </c>
      <c r="E19">
        <v>36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17</v>
      </c>
      <c r="B20" t="s">
        <v>45</v>
      </c>
      <c r="C20" t="s">
        <v>46</v>
      </c>
      <c r="D20" t="s">
        <v>12</v>
      </c>
      <c r="E20">
        <v>38.5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11</v>
      </c>
      <c r="B21" t="s">
        <v>32</v>
      </c>
      <c r="C21" t="s">
        <v>33</v>
      </c>
      <c r="D21" t="s">
        <v>12</v>
      </c>
      <c r="E21">
        <v>42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21</v>
      </c>
      <c r="B22" t="s">
        <v>53</v>
      </c>
      <c r="C22" t="s">
        <v>54</v>
      </c>
      <c r="D22" t="s">
        <v>12</v>
      </c>
      <c r="E22">
        <v>43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20</v>
      </c>
      <c r="B23" t="s">
        <v>51</v>
      </c>
      <c r="C23" t="s">
        <v>52</v>
      </c>
      <c r="D23" t="s">
        <v>12</v>
      </c>
      <c r="E23">
        <v>49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14</v>
      </c>
      <c r="B24" t="s">
        <v>38</v>
      </c>
      <c r="C24" t="s">
        <v>39</v>
      </c>
      <c r="D24" t="s">
        <v>40</v>
      </c>
      <c r="E24">
        <v>53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25</v>
      </c>
      <c r="B25" t="s">
        <v>62</v>
      </c>
      <c r="C25" t="s">
        <v>63</v>
      </c>
      <c r="D25" t="s">
        <v>12</v>
      </c>
      <c r="E25">
        <v>53.5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26</v>
      </c>
      <c r="B26" t="s">
        <v>64</v>
      </c>
      <c r="C26" t="s">
        <v>65</v>
      </c>
      <c r="D26" t="s">
        <v>59</v>
      </c>
      <c r="E26">
        <v>54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18</v>
      </c>
      <c r="B27" t="s">
        <v>47</v>
      </c>
      <c r="C27" t="s">
        <v>48</v>
      </c>
      <c r="D27" t="s">
        <v>12</v>
      </c>
      <c r="E27">
        <v>59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16</v>
      </c>
      <c r="B28" t="s">
        <v>43</v>
      </c>
      <c r="C28" t="s">
        <v>44</v>
      </c>
      <c r="D28" t="s">
        <v>12</v>
      </c>
      <c r="E28">
        <v>59.5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1</v>
      </c>
      <c r="B29" t="s">
        <v>10</v>
      </c>
      <c r="C29" t="s">
        <v>11</v>
      </c>
      <c r="D29" t="s">
        <v>12</v>
      </c>
      <c r="E29">
        <v>67.5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23</v>
      </c>
      <c r="B30" t="s">
        <v>57</v>
      </c>
      <c r="C30" t="s">
        <v>58</v>
      </c>
      <c r="D30" t="s">
        <v>59</v>
      </c>
      <c r="E30">
        <v>69.5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19</v>
      </c>
      <c r="B31" t="s">
        <v>49</v>
      </c>
      <c r="C31" t="s">
        <v>50</v>
      </c>
      <c r="D31" t="s">
        <v>12</v>
      </c>
      <c r="E31">
        <v>73.5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13</v>
      </c>
      <c r="B32" t="s">
        <v>36</v>
      </c>
      <c r="C32" t="s">
        <v>37</v>
      </c>
      <c r="D32" t="s">
        <v>12</v>
      </c>
      <c r="E32">
        <v>81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2</v>
      </c>
      <c r="B33" t="s">
        <v>13</v>
      </c>
      <c r="C33" t="s">
        <v>14</v>
      </c>
      <c r="D33" t="s">
        <v>12</v>
      </c>
      <c r="E33">
        <v>86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22</v>
      </c>
      <c r="B34" t="s">
        <v>55</v>
      </c>
      <c r="C34" t="s">
        <v>56</v>
      </c>
      <c r="D34" t="s">
        <v>12</v>
      </c>
      <c r="E34">
        <v>91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3</v>
      </c>
      <c r="B35" t="s">
        <v>15</v>
      </c>
      <c r="C35" t="s">
        <v>16</v>
      </c>
      <c r="D35" t="s">
        <v>12</v>
      </c>
      <c r="H35">
        <v>0</v>
      </c>
      <c r="I35">
        <v>0</v>
      </c>
      <c r="J35">
        <v>0</v>
      </c>
      <c r="K3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4"/>
  <sheetViews>
    <sheetView tabSelected="1" workbookViewId="0">
      <selection activeCell="M8" sqref="M8"/>
    </sheetView>
  </sheetViews>
  <sheetFormatPr defaultRowHeight="14.5" x14ac:dyDescent="0.35"/>
  <cols>
    <col min="8" max="8" width="12" bestFit="1" customWidth="1"/>
  </cols>
  <sheetData>
    <row r="2" spans="1:2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0" ht="17" x14ac:dyDescent="0.45">
      <c r="A4" s="1" t="s">
        <v>0</v>
      </c>
      <c r="B4" s="1" t="s">
        <v>1</v>
      </c>
      <c r="C4" s="1" t="s">
        <v>2</v>
      </c>
      <c r="D4" s="1" t="s">
        <v>3</v>
      </c>
      <c r="E4" s="2" t="s">
        <v>74</v>
      </c>
      <c r="F4" s="2" t="s">
        <v>77</v>
      </c>
      <c r="G4" s="4" t="s">
        <v>79</v>
      </c>
      <c r="H4" s="4" t="s">
        <v>87</v>
      </c>
      <c r="I4" s="2" t="s">
        <v>88</v>
      </c>
      <c r="J4" s="4" t="s">
        <v>89</v>
      </c>
      <c r="K4" s="1"/>
      <c r="L4" s="1"/>
      <c r="S4" s="3" t="s">
        <v>78</v>
      </c>
      <c r="T4" s="3" t="s">
        <v>77</v>
      </c>
    </row>
    <row r="5" spans="1:20" ht="17" x14ac:dyDescent="0.45">
      <c r="A5">
        <v>22</v>
      </c>
      <c r="B5" s="6" t="s">
        <v>55</v>
      </c>
      <c r="C5" t="s">
        <v>56</v>
      </c>
      <c r="D5" t="s">
        <v>12</v>
      </c>
      <c r="E5">
        <v>91</v>
      </c>
      <c r="F5">
        <v>92</v>
      </c>
      <c r="G5">
        <f>E5+F5</f>
        <v>183</v>
      </c>
      <c r="H5">
        <f>G5/2</f>
        <v>91.5</v>
      </c>
      <c r="I5">
        <v>8</v>
      </c>
      <c r="J5">
        <f>45-I5</f>
        <v>37</v>
      </c>
      <c r="R5" s="3" t="s">
        <v>75</v>
      </c>
      <c r="S5">
        <f>AVERAGE(E5:E33)</f>
        <v>45.344827586206897</v>
      </c>
      <c r="T5">
        <f>AVERAGE(F5:F33)</f>
        <v>56.051724137931032</v>
      </c>
    </row>
    <row r="6" spans="1:20" ht="17" x14ac:dyDescent="0.45">
      <c r="A6">
        <v>13</v>
      </c>
      <c r="B6" s="6" t="s">
        <v>36</v>
      </c>
      <c r="C6" t="s">
        <v>37</v>
      </c>
      <c r="D6" t="s">
        <v>12</v>
      </c>
      <c r="E6">
        <v>81</v>
      </c>
      <c r="F6">
        <v>90</v>
      </c>
      <c r="G6">
        <f>E6+F6</f>
        <v>171</v>
      </c>
      <c r="H6">
        <f>G6/2</f>
        <v>85.5</v>
      </c>
      <c r="I6">
        <v>3</v>
      </c>
      <c r="J6">
        <f>45-I6</f>
        <v>42</v>
      </c>
      <c r="R6" s="3" t="s">
        <v>76</v>
      </c>
      <c r="S6">
        <f>STDEV(E5:E33)</f>
        <v>20.641109919750239</v>
      </c>
      <c r="T6">
        <f>STDEV(F5:F33)</f>
        <v>17.041097816112817</v>
      </c>
    </row>
    <row r="7" spans="1:20" x14ac:dyDescent="0.35">
      <c r="A7">
        <v>2</v>
      </c>
      <c r="B7" s="6" t="s">
        <v>13</v>
      </c>
      <c r="C7" t="s">
        <v>14</v>
      </c>
      <c r="D7" t="s">
        <v>12</v>
      </c>
      <c r="E7">
        <v>86</v>
      </c>
      <c r="F7">
        <v>77</v>
      </c>
      <c r="G7">
        <f>E7+F7</f>
        <v>163</v>
      </c>
      <c r="H7">
        <f>G7/2</f>
        <v>81.5</v>
      </c>
      <c r="I7">
        <v>0</v>
      </c>
      <c r="J7">
        <f>45-I7</f>
        <v>45</v>
      </c>
    </row>
    <row r="8" spans="1:20" x14ac:dyDescent="0.35">
      <c r="A8">
        <v>19</v>
      </c>
      <c r="B8" s="6" t="s">
        <v>49</v>
      </c>
      <c r="C8" t="s">
        <v>50</v>
      </c>
      <c r="D8" t="s">
        <v>12</v>
      </c>
      <c r="E8">
        <v>73.5</v>
      </c>
      <c r="F8">
        <v>71.5</v>
      </c>
      <c r="G8">
        <f>E8+F8</f>
        <v>145</v>
      </c>
      <c r="H8">
        <f>G8/2</f>
        <v>72.5</v>
      </c>
      <c r="I8">
        <v>0</v>
      </c>
      <c r="J8">
        <f>45-I8</f>
        <v>45</v>
      </c>
    </row>
    <row r="9" spans="1:20" x14ac:dyDescent="0.35">
      <c r="A9">
        <v>23</v>
      </c>
      <c r="B9" s="6" t="s">
        <v>57</v>
      </c>
      <c r="C9" t="s">
        <v>58</v>
      </c>
      <c r="D9" t="s">
        <v>59</v>
      </c>
      <c r="E9">
        <v>69.5</v>
      </c>
      <c r="F9">
        <v>71</v>
      </c>
      <c r="G9">
        <f>E9+F9</f>
        <v>140.5</v>
      </c>
      <c r="H9">
        <f>G9/2</f>
        <v>70.25</v>
      </c>
      <c r="I9">
        <v>0</v>
      </c>
      <c r="J9">
        <f>45-I9</f>
        <v>45</v>
      </c>
    </row>
    <row r="10" spans="1:20" x14ac:dyDescent="0.35">
      <c r="A10">
        <v>26</v>
      </c>
      <c r="B10" s="6" t="s">
        <v>64</v>
      </c>
      <c r="C10" t="s">
        <v>65</v>
      </c>
      <c r="D10" t="s">
        <v>59</v>
      </c>
      <c r="E10">
        <v>54</v>
      </c>
      <c r="F10">
        <v>80.5</v>
      </c>
      <c r="G10">
        <f>E10+F10</f>
        <v>134.5</v>
      </c>
      <c r="H10">
        <f>G10/2</f>
        <v>67.25</v>
      </c>
      <c r="I10">
        <v>1</v>
      </c>
      <c r="J10">
        <f>45-I10</f>
        <v>44</v>
      </c>
      <c r="Q10">
        <v>30</v>
      </c>
      <c r="R10" s="5">
        <f>$Q$10*T10</f>
        <v>9</v>
      </c>
      <c r="S10" s="5" t="s">
        <v>80</v>
      </c>
      <c r="T10">
        <v>0.3</v>
      </c>
    </row>
    <row r="11" spans="1:20" x14ac:dyDescent="0.35">
      <c r="A11" s="9">
        <v>16</v>
      </c>
      <c r="B11" s="9" t="s">
        <v>43</v>
      </c>
      <c r="C11" s="9" t="s">
        <v>44</v>
      </c>
      <c r="D11" s="9" t="s">
        <v>12</v>
      </c>
      <c r="E11" s="9">
        <v>59.5</v>
      </c>
      <c r="F11" s="9">
        <v>65</v>
      </c>
      <c r="G11" s="9">
        <f>E11+F11</f>
        <v>124.5</v>
      </c>
      <c r="H11" s="9">
        <f>G11/2</f>
        <v>62.25</v>
      </c>
      <c r="I11" s="9">
        <v>0</v>
      </c>
      <c r="J11">
        <f>45-I11</f>
        <v>45</v>
      </c>
      <c r="K11" s="9"/>
      <c r="L11" s="9"/>
      <c r="R11" s="5">
        <f t="shared" ref="R11:R12" si="0">$Q$10*T11</f>
        <v>12</v>
      </c>
      <c r="S11" s="5" t="s">
        <v>81</v>
      </c>
      <c r="T11">
        <v>0.4</v>
      </c>
    </row>
    <row r="12" spans="1:20" x14ac:dyDescent="0.35">
      <c r="A12">
        <v>1</v>
      </c>
      <c r="B12" s="6" t="s">
        <v>10</v>
      </c>
      <c r="C12" t="s">
        <v>11</v>
      </c>
      <c r="D12" t="s">
        <v>12</v>
      </c>
      <c r="E12">
        <v>67.5</v>
      </c>
      <c r="F12">
        <v>56</v>
      </c>
      <c r="G12">
        <f>E12+F12</f>
        <v>123.5</v>
      </c>
      <c r="H12">
        <f>G12/2</f>
        <v>61.75</v>
      </c>
      <c r="I12">
        <v>0</v>
      </c>
      <c r="J12">
        <f>45-I12</f>
        <v>45</v>
      </c>
      <c r="R12" s="5">
        <f t="shared" si="0"/>
        <v>9</v>
      </c>
      <c r="S12" s="5" t="s">
        <v>82</v>
      </c>
      <c r="T12">
        <v>0.3</v>
      </c>
    </row>
    <row r="13" spans="1:20" x14ac:dyDescent="0.35">
      <c r="A13">
        <v>25</v>
      </c>
      <c r="B13" s="7" t="s">
        <v>62</v>
      </c>
      <c r="C13" t="s">
        <v>63</v>
      </c>
      <c r="D13" t="s">
        <v>12</v>
      </c>
      <c r="E13">
        <v>53.5</v>
      </c>
      <c r="F13">
        <v>65</v>
      </c>
      <c r="G13">
        <f>E13+F13</f>
        <v>118.5</v>
      </c>
      <c r="H13">
        <f>G13/2</f>
        <v>59.25</v>
      </c>
      <c r="I13">
        <v>3</v>
      </c>
      <c r="J13">
        <f>45-I13</f>
        <v>42</v>
      </c>
    </row>
    <row r="14" spans="1:20" x14ac:dyDescent="0.35">
      <c r="A14">
        <v>18</v>
      </c>
      <c r="B14" s="7" t="s">
        <v>47</v>
      </c>
      <c r="C14" t="s">
        <v>48</v>
      </c>
      <c r="D14" t="s">
        <v>12</v>
      </c>
      <c r="E14">
        <v>59</v>
      </c>
      <c r="F14">
        <v>59</v>
      </c>
      <c r="G14">
        <f>E14+F14</f>
        <v>118</v>
      </c>
      <c r="H14">
        <f>G14/2</f>
        <v>59</v>
      </c>
      <c r="I14">
        <v>3</v>
      </c>
      <c r="J14">
        <f>45-I14</f>
        <v>42</v>
      </c>
    </row>
    <row r="15" spans="1:20" x14ac:dyDescent="0.35">
      <c r="A15">
        <v>14</v>
      </c>
      <c r="B15" s="7" t="s">
        <v>38</v>
      </c>
      <c r="C15" t="s">
        <v>39</v>
      </c>
      <c r="D15" t="s">
        <v>40</v>
      </c>
      <c r="E15">
        <v>53</v>
      </c>
      <c r="F15">
        <v>59.5</v>
      </c>
      <c r="G15">
        <f>E15+F15</f>
        <v>112.5</v>
      </c>
      <c r="H15">
        <f>G15/2</f>
        <v>56.25</v>
      </c>
      <c r="I15">
        <v>8</v>
      </c>
      <c r="J15">
        <f>45-I15</f>
        <v>37</v>
      </c>
    </row>
    <row r="16" spans="1:20" x14ac:dyDescent="0.35">
      <c r="A16">
        <v>20</v>
      </c>
      <c r="B16" s="7" t="s">
        <v>51</v>
      </c>
      <c r="C16" t="s">
        <v>52</v>
      </c>
      <c r="D16" t="s">
        <v>12</v>
      </c>
      <c r="E16">
        <v>49</v>
      </c>
      <c r="F16">
        <v>57</v>
      </c>
      <c r="G16">
        <f>E16+F16</f>
        <v>106</v>
      </c>
      <c r="H16">
        <f>G16/2</f>
        <v>53</v>
      </c>
      <c r="I16">
        <v>0</v>
      </c>
      <c r="J16">
        <f>45-I16</f>
        <v>45</v>
      </c>
    </row>
    <row r="17" spans="1:19" x14ac:dyDescent="0.35">
      <c r="A17">
        <v>11</v>
      </c>
      <c r="B17" s="7" t="s">
        <v>32</v>
      </c>
      <c r="C17" t="s">
        <v>33</v>
      </c>
      <c r="D17" t="s">
        <v>12</v>
      </c>
      <c r="E17">
        <v>42</v>
      </c>
      <c r="F17">
        <v>61</v>
      </c>
      <c r="G17">
        <f>E17+F17</f>
        <v>103</v>
      </c>
      <c r="H17">
        <f>G17/2</f>
        <v>51.5</v>
      </c>
      <c r="I17">
        <v>0</v>
      </c>
      <c r="J17">
        <f>45-I17</f>
        <v>45</v>
      </c>
    </row>
    <row r="18" spans="1:19" x14ac:dyDescent="0.35">
      <c r="A18">
        <v>12</v>
      </c>
      <c r="B18" s="7" t="s">
        <v>34</v>
      </c>
      <c r="C18" t="s">
        <v>35</v>
      </c>
      <c r="D18" t="s">
        <v>12</v>
      </c>
      <c r="E18">
        <v>33</v>
      </c>
      <c r="F18">
        <v>68</v>
      </c>
      <c r="G18">
        <f>E18+F18</f>
        <v>101</v>
      </c>
      <c r="H18">
        <f>G18/2</f>
        <v>50.5</v>
      </c>
      <c r="I18">
        <v>3</v>
      </c>
      <c r="J18">
        <f>45-I18</f>
        <v>42</v>
      </c>
    </row>
    <row r="19" spans="1:19" x14ac:dyDescent="0.35">
      <c r="A19">
        <v>29</v>
      </c>
      <c r="B19" s="7" t="s">
        <v>70</v>
      </c>
      <c r="C19" t="s">
        <v>71</v>
      </c>
      <c r="D19" t="s">
        <v>12</v>
      </c>
      <c r="E19">
        <v>35</v>
      </c>
      <c r="F19">
        <v>65.5</v>
      </c>
      <c r="G19">
        <f>E19+F19</f>
        <v>100.5</v>
      </c>
      <c r="H19">
        <f>G19/2</f>
        <v>50.25</v>
      </c>
      <c r="I19">
        <v>6</v>
      </c>
      <c r="J19">
        <f>45-I19</f>
        <v>39</v>
      </c>
    </row>
    <row r="20" spans="1:19" x14ac:dyDescent="0.35">
      <c r="A20">
        <v>17</v>
      </c>
      <c r="B20" s="7" t="s">
        <v>45</v>
      </c>
      <c r="C20" t="s">
        <v>46</v>
      </c>
      <c r="D20" t="s">
        <v>12</v>
      </c>
      <c r="E20">
        <v>38.5</v>
      </c>
      <c r="F20">
        <v>55</v>
      </c>
      <c r="G20">
        <f>E20+F20</f>
        <v>93.5</v>
      </c>
      <c r="H20">
        <f>G20/2</f>
        <v>46.75</v>
      </c>
      <c r="I20">
        <v>8</v>
      </c>
      <c r="J20">
        <f>45-I20</f>
        <v>37</v>
      </c>
      <c r="P20">
        <v>30</v>
      </c>
    </row>
    <row r="21" spans="1:19" ht="17" x14ac:dyDescent="0.45">
      <c r="A21">
        <v>21</v>
      </c>
      <c r="B21" s="7" t="s">
        <v>53</v>
      </c>
      <c r="C21" t="s">
        <v>54</v>
      </c>
      <c r="D21" t="s">
        <v>12</v>
      </c>
      <c r="E21">
        <v>43</v>
      </c>
      <c r="F21">
        <v>44</v>
      </c>
      <c r="G21">
        <f>E21+F21</f>
        <v>87</v>
      </c>
      <c r="H21">
        <f>G21/2</f>
        <v>43.5</v>
      </c>
      <c r="I21">
        <v>3</v>
      </c>
      <c r="J21">
        <f>45-I21</f>
        <v>42</v>
      </c>
      <c r="O21" s="3" t="s">
        <v>83</v>
      </c>
      <c r="P21">
        <v>6</v>
      </c>
    </row>
    <row r="22" spans="1:19" ht="17" x14ac:dyDescent="0.45">
      <c r="A22">
        <v>7</v>
      </c>
      <c r="B22" s="8" t="s">
        <v>24</v>
      </c>
      <c r="C22" t="s">
        <v>25</v>
      </c>
      <c r="D22" t="s">
        <v>12</v>
      </c>
      <c r="E22">
        <v>28.5</v>
      </c>
      <c r="F22">
        <v>51</v>
      </c>
      <c r="G22">
        <f>E22+F22</f>
        <v>79.5</v>
      </c>
      <c r="H22">
        <f>G22/2</f>
        <v>39.75</v>
      </c>
      <c r="I22">
        <v>0</v>
      </c>
      <c r="J22">
        <f>45-I22</f>
        <v>45</v>
      </c>
      <c r="P22">
        <f>P20-P21</f>
        <v>24</v>
      </c>
      <c r="Q22">
        <v>0.3</v>
      </c>
      <c r="R22">
        <f>$P$22*Q22</f>
        <v>7.1999999999999993</v>
      </c>
      <c r="S22" s="5" t="s">
        <v>84</v>
      </c>
    </row>
    <row r="23" spans="1:19" ht="17" x14ac:dyDescent="0.45">
      <c r="A23">
        <v>30</v>
      </c>
      <c r="B23" s="8" t="s">
        <v>72</v>
      </c>
      <c r="C23" t="s">
        <v>73</v>
      </c>
      <c r="D23" t="s">
        <v>12</v>
      </c>
      <c r="E23">
        <v>30.5</v>
      </c>
      <c r="F23">
        <v>47</v>
      </c>
      <c r="G23">
        <f>E23+F23</f>
        <v>77.5</v>
      </c>
      <c r="H23">
        <f>G23/2</f>
        <v>38.75</v>
      </c>
      <c r="I23">
        <v>0</v>
      </c>
      <c r="J23">
        <f>45-I23</f>
        <v>45</v>
      </c>
      <c r="Q23">
        <v>0.4</v>
      </c>
      <c r="R23">
        <f t="shared" ref="R23:R24" si="1">$P$22*Q23</f>
        <v>9.6000000000000014</v>
      </c>
      <c r="S23" s="5" t="s">
        <v>85</v>
      </c>
    </row>
    <row r="24" spans="1:19" ht="17" x14ac:dyDescent="0.45">
      <c r="A24">
        <v>24</v>
      </c>
      <c r="B24" s="8" t="s">
        <v>60</v>
      </c>
      <c r="C24" t="s">
        <v>61</v>
      </c>
      <c r="D24" t="s">
        <v>12</v>
      </c>
      <c r="E24">
        <v>23</v>
      </c>
      <c r="F24">
        <v>53</v>
      </c>
      <c r="G24">
        <f>E24+F24</f>
        <v>76</v>
      </c>
      <c r="H24">
        <f>G24/2</f>
        <v>38</v>
      </c>
      <c r="I24">
        <v>0</v>
      </c>
      <c r="J24">
        <f>45-I24</f>
        <v>45</v>
      </c>
      <c r="Q24">
        <v>0.3</v>
      </c>
      <c r="R24">
        <f t="shared" si="1"/>
        <v>7.1999999999999993</v>
      </c>
      <c r="S24" s="5" t="s">
        <v>86</v>
      </c>
    </row>
    <row r="25" spans="1:19" x14ac:dyDescent="0.35">
      <c r="A25">
        <v>5</v>
      </c>
      <c r="B25" s="8" t="s">
        <v>19</v>
      </c>
      <c r="C25" t="s">
        <v>20</v>
      </c>
      <c r="D25" t="s">
        <v>12</v>
      </c>
      <c r="E25">
        <v>26</v>
      </c>
      <c r="F25">
        <v>46.5</v>
      </c>
      <c r="G25">
        <f>E25+F25</f>
        <v>72.5</v>
      </c>
      <c r="H25">
        <f>G25/2</f>
        <v>36.25</v>
      </c>
      <c r="I25">
        <v>3</v>
      </c>
      <c r="J25">
        <f>45-I25</f>
        <v>42</v>
      </c>
    </row>
    <row r="26" spans="1:19" x14ac:dyDescent="0.35">
      <c r="A26">
        <v>6</v>
      </c>
      <c r="B26" s="8" t="s">
        <v>21</v>
      </c>
      <c r="C26" t="s">
        <v>22</v>
      </c>
      <c r="D26" t="s">
        <v>23</v>
      </c>
      <c r="E26">
        <v>24</v>
      </c>
      <c r="F26">
        <v>48</v>
      </c>
      <c r="G26">
        <f>E26+F26</f>
        <v>72</v>
      </c>
      <c r="H26">
        <f>G26/2</f>
        <v>36</v>
      </c>
      <c r="I26">
        <v>10</v>
      </c>
      <c r="J26">
        <f>45-I26</f>
        <v>35</v>
      </c>
    </row>
    <row r="27" spans="1:19" s="9" customFormat="1" x14ac:dyDescent="0.35">
      <c r="A27" s="9">
        <v>27</v>
      </c>
      <c r="B27" s="9" t="s">
        <v>66</v>
      </c>
      <c r="C27" s="9" t="s">
        <v>67</v>
      </c>
      <c r="D27" s="9" t="s">
        <v>12</v>
      </c>
      <c r="E27" s="9">
        <v>36</v>
      </c>
      <c r="F27" s="9">
        <v>34</v>
      </c>
      <c r="G27" s="9">
        <f>E27+F27</f>
        <v>70</v>
      </c>
      <c r="H27" s="9">
        <f>G27/2</f>
        <v>35</v>
      </c>
      <c r="I27" s="9">
        <v>3</v>
      </c>
      <c r="J27">
        <f>45-I27</f>
        <v>42</v>
      </c>
    </row>
    <row r="28" spans="1:19" s="9" customFormat="1" x14ac:dyDescent="0.35">
      <c r="A28" s="9">
        <v>15</v>
      </c>
      <c r="B28" s="9" t="s">
        <v>41</v>
      </c>
      <c r="C28" s="9" t="s">
        <v>42</v>
      </c>
      <c r="D28" s="9" t="s">
        <v>12</v>
      </c>
      <c r="E28" s="9">
        <v>28</v>
      </c>
      <c r="F28" s="9">
        <v>39</v>
      </c>
      <c r="G28" s="9">
        <f>E28+F28</f>
        <v>67</v>
      </c>
      <c r="H28" s="9">
        <f>G28/2</f>
        <v>33.5</v>
      </c>
      <c r="I28" s="9">
        <v>3</v>
      </c>
      <c r="J28">
        <f>45-I28</f>
        <v>42</v>
      </c>
    </row>
    <row r="29" spans="1:19" x14ac:dyDescent="0.35">
      <c r="A29">
        <v>4</v>
      </c>
      <c r="B29" s="8" t="s">
        <v>17</v>
      </c>
      <c r="C29" t="s">
        <v>18</v>
      </c>
      <c r="D29" t="s">
        <v>12</v>
      </c>
      <c r="E29">
        <v>32</v>
      </c>
      <c r="F29">
        <v>31</v>
      </c>
      <c r="G29">
        <f>E29+F29</f>
        <v>63</v>
      </c>
      <c r="H29">
        <f>G29/2</f>
        <v>31.5</v>
      </c>
      <c r="I29">
        <v>3</v>
      </c>
      <c r="J29">
        <f>45-I29</f>
        <v>42</v>
      </c>
    </row>
    <row r="30" spans="1:19" x14ac:dyDescent="0.35">
      <c r="A30">
        <v>8</v>
      </c>
      <c r="B30" s="8" t="s">
        <v>26</v>
      </c>
      <c r="C30" t="s">
        <v>27</v>
      </c>
      <c r="D30" t="s">
        <v>12</v>
      </c>
      <c r="E30">
        <v>26</v>
      </c>
      <c r="F30">
        <v>37</v>
      </c>
      <c r="G30">
        <f>E30+F30</f>
        <v>63</v>
      </c>
      <c r="H30">
        <f>G30/2</f>
        <v>31.5</v>
      </c>
      <c r="I30">
        <v>1</v>
      </c>
      <c r="J30">
        <f>45-I30</f>
        <v>44</v>
      </c>
    </row>
    <row r="31" spans="1:19" s="9" customFormat="1" x14ac:dyDescent="0.35">
      <c r="A31" s="9">
        <v>9</v>
      </c>
      <c r="B31" s="9" t="s">
        <v>28</v>
      </c>
      <c r="C31" s="9" t="s">
        <v>29</v>
      </c>
      <c r="D31" s="9" t="s">
        <v>12</v>
      </c>
      <c r="E31" s="9">
        <v>20</v>
      </c>
      <c r="F31" s="9">
        <v>42</v>
      </c>
      <c r="G31" s="9">
        <f>E31+F31</f>
        <v>62</v>
      </c>
      <c r="H31" s="9">
        <f>G31/2</f>
        <v>31</v>
      </c>
      <c r="I31" s="9">
        <v>0</v>
      </c>
      <c r="J31">
        <f>45-I31</f>
        <v>45</v>
      </c>
    </row>
    <row r="32" spans="1:19" s="9" customFormat="1" x14ac:dyDescent="0.35">
      <c r="A32" s="9">
        <v>10</v>
      </c>
      <c r="B32" s="9" t="s">
        <v>30</v>
      </c>
      <c r="C32" s="9" t="s">
        <v>31</v>
      </c>
      <c r="D32" s="9" t="s">
        <v>12</v>
      </c>
      <c r="E32" s="9">
        <v>25</v>
      </c>
      <c r="F32" s="9">
        <v>32</v>
      </c>
      <c r="G32" s="9">
        <f>E32+F32</f>
        <v>57</v>
      </c>
      <c r="H32" s="9">
        <f>G32/2</f>
        <v>28.5</v>
      </c>
      <c r="I32" s="9">
        <v>0</v>
      </c>
      <c r="J32">
        <f>45-I32</f>
        <v>45</v>
      </c>
    </row>
    <row r="33" spans="1:13" s="9" customFormat="1" x14ac:dyDescent="0.35">
      <c r="A33" s="9">
        <v>28</v>
      </c>
      <c r="B33" s="9" t="s">
        <v>68</v>
      </c>
      <c r="C33" s="9" t="s">
        <v>69</v>
      </c>
      <c r="D33" s="9" t="s">
        <v>12</v>
      </c>
      <c r="E33" s="9">
        <v>28</v>
      </c>
      <c r="F33" s="9">
        <v>28</v>
      </c>
      <c r="G33" s="9">
        <f>E33+F33</f>
        <v>56</v>
      </c>
      <c r="H33" s="9">
        <f>G33/2</f>
        <v>28</v>
      </c>
      <c r="I33" s="9">
        <v>0</v>
      </c>
      <c r="J33">
        <f>45-I33</f>
        <v>45</v>
      </c>
    </row>
    <row r="34" spans="1:13" x14ac:dyDescent="0.35">
      <c r="A34">
        <v>3</v>
      </c>
      <c r="B34" s="8" t="s">
        <v>15</v>
      </c>
      <c r="C34" t="s">
        <v>16</v>
      </c>
      <c r="D34" t="s">
        <v>12</v>
      </c>
      <c r="G34">
        <f>E34+F34</f>
        <v>0</v>
      </c>
      <c r="H34">
        <f>G34/2</f>
        <v>0</v>
      </c>
      <c r="I34">
        <v>45</v>
      </c>
      <c r="J34">
        <f>45-I34</f>
        <v>0</v>
      </c>
      <c r="M34" s="5"/>
    </row>
  </sheetData>
  <sheetProtection formatCells="0" formatColumns="0" formatRows="0" insertColumns="0" insertRows="0" insertHyperlinks="0" deleteColumns="0" deleteRows="0" sort="0" autoFilter="0" pivotTables="0"/>
  <autoFilter ref="A4:L4" xr:uid="{00000000-0001-0000-0000-000000000000}">
    <sortState xmlns:xlrd2="http://schemas.microsoft.com/office/spreadsheetml/2017/richdata2" ref="A5:L34">
      <sortCondition descending="1" ref="H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중간고사 원본</vt:lpstr>
      <vt:lpstr>중간고사 통계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Seungho Jeon</cp:lastModifiedBy>
  <dcterms:created xsi:type="dcterms:W3CDTF">2026-05-04T03:12:26Z</dcterms:created>
  <dcterms:modified xsi:type="dcterms:W3CDTF">2026-06-16T08:33:34Z</dcterms:modified>
  <cp:category/>
</cp:coreProperties>
</file>