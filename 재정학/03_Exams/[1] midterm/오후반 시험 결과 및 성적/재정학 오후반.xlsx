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SKTOP\Desktop\Teaching\재정학\03_Exams\[1] midterm\오후반 시험 결과 및 성적\"/>
    </mc:Choice>
  </mc:AlternateContent>
  <xr:revisionPtr revIDLastSave="0" documentId="13_ncr:1_{EFFC21B5-4AD2-4B92-BD02-327E2E5BA7F2}" xr6:coauthVersionLast="47" xr6:coauthVersionMax="47" xr10:uidLastSave="{00000000-0000-0000-0000-000000000000}"/>
  <bookViews>
    <workbookView xWindow="57495" yWindow="0" windowWidth="19410" windowHeight="20985" activeTab="1" xr2:uid="{00000000-000D-0000-FFFF-FFFF00000000}"/>
  </bookViews>
  <sheets>
    <sheet name="Worksheet" sheetId="1" r:id="rId1"/>
    <sheet name="그래프" sheetId="2" r:id="rId2"/>
  </sheets>
  <definedNames>
    <definedName name="_xlnm._FilterDatabase" localSheetId="1" hidden="1">그래프!$A$4:$J$4</definedName>
    <definedName name="_xlchart.v1.0" hidden="1">그래프!$G$5:$G$41</definedName>
    <definedName name="_xlchart.v1.1" hidden="1">그래프!$H$5:$H$41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J17" i="2"/>
  <c r="J36" i="2"/>
  <c r="J39" i="2"/>
  <c r="J6" i="2"/>
  <c r="J22" i="2"/>
  <c r="J20" i="2"/>
  <c r="J28" i="2"/>
  <c r="J9" i="2"/>
  <c r="J10" i="2"/>
  <c r="J29" i="2"/>
  <c r="J14" i="2"/>
  <c r="J13" i="2"/>
  <c r="J7" i="2"/>
  <c r="J38" i="2"/>
  <c r="J12" i="2"/>
  <c r="J37" i="2"/>
  <c r="J18" i="2"/>
  <c r="J25" i="2"/>
  <c r="J33" i="2"/>
  <c r="J34" i="2"/>
  <c r="J8" i="2"/>
  <c r="J5" i="2"/>
  <c r="J21" i="2"/>
  <c r="J26" i="2"/>
  <c r="J27" i="2"/>
  <c r="J23" i="2"/>
  <c r="J11" i="2"/>
  <c r="J15" i="2"/>
  <c r="J32" i="2"/>
  <c r="J24" i="2"/>
  <c r="J41" i="2"/>
  <c r="J35" i="2"/>
  <c r="J19" i="2"/>
  <c r="J40" i="2"/>
  <c r="J31" i="2"/>
  <c r="J16" i="2"/>
  <c r="G38" i="2" l="1"/>
  <c r="H38" i="2" s="1"/>
  <c r="G37" i="2"/>
  <c r="H37" i="2" s="1"/>
  <c r="G34" i="2"/>
  <c r="H34" i="2" s="1"/>
  <c r="G40" i="2"/>
  <c r="H40" i="2" s="1"/>
  <c r="G30" i="2"/>
  <c r="H30" i="2" s="1"/>
  <c r="G27" i="2"/>
  <c r="H27" i="2" s="1"/>
  <c r="G36" i="2"/>
  <c r="H36" i="2" s="1"/>
  <c r="G28" i="2"/>
  <c r="H28" i="2" s="1"/>
  <c r="G22" i="2"/>
  <c r="H22" i="2" s="1"/>
  <c r="G25" i="2"/>
  <c r="H25" i="2" s="1"/>
  <c r="G39" i="2"/>
  <c r="H39" i="2" s="1"/>
  <c r="G32" i="2"/>
  <c r="H32" i="2" s="1"/>
  <c r="G20" i="2"/>
  <c r="H20" i="2" s="1"/>
  <c r="G19" i="2"/>
  <c r="H19" i="2" s="1"/>
  <c r="G29" i="2"/>
  <c r="H29" i="2" s="1"/>
  <c r="G18" i="2"/>
  <c r="H18" i="2" s="1"/>
  <c r="G26" i="2"/>
  <c r="H26" i="2" s="1"/>
  <c r="G35" i="2"/>
  <c r="H35" i="2" s="1"/>
  <c r="G23" i="2"/>
  <c r="H23" i="2" s="1"/>
  <c r="G33" i="2"/>
  <c r="H33" i="2" s="1"/>
  <c r="G24" i="2"/>
  <c r="H24" i="2" s="1"/>
  <c r="G31" i="2"/>
  <c r="H31" i="2" s="1"/>
  <c r="G7" i="2"/>
  <c r="H7" i="2" s="1"/>
  <c r="G21" i="2"/>
  <c r="H21" i="2" s="1"/>
  <c r="G16" i="2"/>
  <c r="H16" i="2" s="1"/>
  <c r="G15" i="2"/>
  <c r="H15" i="2" s="1"/>
  <c r="G17" i="2"/>
  <c r="H17" i="2" s="1"/>
  <c r="G11" i="2"/>
  <c r="H11" i="2" s="1"/>
  <c r="G14" i="2"/>
  <c r="H14" i="2" s="1"/>
  <c r="G12" i="2"/>
  <c r="H12" i="2" s="1"/>
  <c r="G13" i="2"/>
  <c r="H13" i="2" s="1"/>
  <c r="G9" i="2"/>
  <c r="H9" i="2" s="1"/>
  <c r="G10" i="2"/>
  <c r="H10" i="2" s="1"/>
  <c r="G8" i="2"/>
  <c r="H8" i="2" s="1"/>
  <c r="G6" i="2"/>
  <c r="H6" i="2" s="1"/>
  <c r="G5" i="2"/>
  <c r="H5" i="2" s="1"/>
  <c r="G41" i="2"/>
  <c r="H41" i="2" s="1"/>
  <c r="R2" i="2"/>
  <c r="R1" i="2"/>
  <c r="Q2" i="2"/>
  <c r="Q1" i="2"/>
</calcChain>
</file>

<file path=xl/sharedStrings.xml><?xml version="1.0" encoding="utf-8"?>
<sst xmlns="http://schemas.openxmlformats.org/spreadsheetml/2006/main" count="282" uniqueCount="97">
  <si>
    <t>순번</t>
  </si>
  <si>
    <t>이름</t>
  </si>
  <si>
    <t>학번</t>
  </si>
  <si>
    <t>학과</t>
  </si>
  <si>
    <t>소속1</t>
  </si>
  <si>
    <t>소속2</t>
  </si>
  <si>
    <t>소속3</t>
  </si>
  <si>
    <t>출석</t>
  </si>
  <si>
    <t>지각</t>
  </si>
  <si>
    <t>결석</t>
  </si>
  <si>
    <t>미결</t>
  </si>
  <si>
    <t>강성민(2021##58)</t>
  </si>
  <si>
    <t>S20212658</t>
  </si>
  <si>
    <t>경제학과</t>
  </si>
  <si>
    <t>강유현(2024##72)</t>
  </si>
  <si>
    <t>S20242672</t>
  </si>
  <si>
    <t>곽호준(2022##81)</t>
  </si>
  <si>
    <t>S20222681</t>
  </si>
  <si>
    <t>김대영(2021##31)</t>
  </si>
  <si>
    <t>S20217231</t>
  </si>
  <si>
    <t>김민지(2024##13)</t>
  </si>
  <si>
    <t>S20242713</t>
  </si>
  <si>
    <t>김세은(2024##14)</t>
  </si>
  <si>
    <t>S20242714</t>
  </si>
  <si>
    <t>김용빈(2024##77)</t>
  </si>
  <si>
    <t>S20242677</t>
  </si>
  <si>
    <t>김정태(2022##85)</t>
  </si>
  <si>
    <t>S20222685</t>
  </si>
  <si>
    <t>김지나(2024##81)</t>
  </si>
  <si>
    <t>S20242681</t>
  </si>
  <si>
    <t>김지수(2022##86)</t>
  </si>
  <si>
    <t>S20222686</t>
  </si>
  <si>
    <t>김진(2021##28)</t>
  </si>
  <si>
    <t>S20212628</t>
  </si>
  <si>
    <t>노주향(2023##47)</t>
  </si>
  <si>
    <t>S20232647</t>
  </si>
  <si>
    <t>박소영(2024##85)</t>
  </si>
  <si>
    <t>S20242685</t>
  </si>
  <si>
    <t>박지훈(2022##94)</t>
  </si>
  <si>
    <t>S20222694</t>
  </si>
  <si>
    <t>박채원(2023##51)</t>
  </si>
  <si>
    <t>S20232651</t>
  </si>
  <si>
    <t>박혜정(2024##20)</t>
  </si>
  <si>
    <t>S20242720</t>
  </si>
  <si>
    <t>백민철(2024##32)</t>
  </si>
  <si>
    <t>S20247232</t>
  </si>
  <si>
    <t>백지연(2023##52)</t>
  </si>
  <si>
    <t>S20232652</t>
  </si>
  <si>
    <t>성윤규(2022##97)</t>
  </si>
  <si>
    <t>S20222697</t>
  </si>
  <si>
    <t>양성원(2022##61)</t>
  </si>
  <si>
    <t>S20222661</t>
  </si>
  <si>
    <t>엄기훈(2022##62)</t>
  </si>
  <si>
    <t>S20222662</t>
  </si>
  <si>
    <t>여은정(2024##27)</t>
  </si>
  <si>
    <t>S20242727</t>
  </si>
  <si>
    <t>오승연(2025##07)</t>
  </si>
  <si>
    <t>S20252807</t>
  </si>
  <si>
    <t>원민지(2025##11)</t>
  </si>
  <si>
    <t>S20252811</t>
  </si>
  <si>
    <t>유승우(2022##66)</t>
  </si>
  <si>
    <t>S20222666</t>
  </si>
  <si>
    <t>윤소영(2024##94)</t>
  </si>
  <si>
    <t>S20242694</t>
  </si>
  <si>
    <t>윤은혜(2023##88)</t>
  </si>
  <si>
    <t>S20232688</t>
  </si>
  <si>
    <t>이동규(2020##02)</t>
  </si>
  <si>
    <t>S20202602</t>
  </si>
  <si>
    <t>이병호(2021##80)</t>
  </si>
  <si>
    <t>S20212680</t>
  </si>
  <si>
    <t>이서현(2023##63)</t>
  </si>
  <si>
    <t>S20232663</t>
  </si>
  <si>
    <t>이주한(2022##69)</t>
  </si>
  <si>
    <t>S20222669</t>
  </si>
  <si>
    <t>이지환(2022##70)</t>
  </si>
  <si>
    <t>S20222670</t>
  </si>
  <si>
    <t>장세희(2024##33)</t>
  </si>
  <si>
    <t>S20242733</t>
  </si>
  <si>
    <t>장예서(2024##34)</t>
  </si>
  <si>
    <t>S20242734</t>
  </si>
  <si>
    <t>전혜성(2022##72)</t>
  </si>
  <si>
    <t>S20222672</t>
  </si>
  <si>
    <t>정윤종(2023##24)</t>
  </si>
  <si>
    <t>S20237224</t>
  </si>
  <si>
    <t>최윤서(2024##02)</t>
  </si>
  <si>
    <t>S20242702</t>
  </si>
  <si>
    <t>평균</t>
    <phoneticPr fontId="2" type="noConversion"/>
  </si>
  <si>
    <t>표준편차</t>
    <phoneticPr fontId="2" type="noConversion"/>
  </si>
  <si>
    <t>중간고사</t>
    <phoneticPr fontId="2" type="noConversion"/>
  </si>
  <si>
    <t>기말고사</t>
    <phoneticPr fontId="2" type="noConversion"/>
  </si>
  <si>
    <t>총점</t>
    <phoneticPr fontId="2" type="noConversion"/>
  </si>
  <si>
    <t>A+</t>
    <phoneticPr fontId="2" type="noConversion"/>
  </si>
  <si>
    <t>B+</t>
    <phoneticPr fontId="2" type="noConversion"/>
  </si>
  <si>
    <t>C+</t>
    <phoneticPr fontId="2" type="noConversion"/>
  </si>
  <si>
    <t>100환산</t>
    <phoneticPr fontId="2" type="noConversion"/>
  </si>
  <si>
    <t>빠진시간</t>
    <phoneticPr fontId="2" type="noConversion"/>
  </si>
  <si>
    <t>출석시간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</si>
</sst>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5" fillId="0" borderId="0" xfId="0" applyFon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1"/>
  <sheetViews>
    <sheetView workbookViewId="0">
      <selection activeCell="A4" sqref="A4:K41"/>
    </sheetView>
  </sheetViews>
  <sheetFormatPr defaultRowHeight="14.5" x14ac:dyDescent="0.35"/>
  <sheetData>
    <row r="2" spans="1:1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x14ac:dyDescent="0.35">
      <c r="A5">
        <v>1</v>
      </c>
      <c r="B5" t="s">
        <v>11</v>
      </c>
      <c r="C5" t="s">
        <v>12</v>
      </c>
      <c r="D5" t="s">
        <v>13</v>
      </c>
      <c r="E5">
        <v>49</v>
      </c>
      <c r="H5">
        <v>0</v>
      </c>
      <c r="I5">
        <v>0</v>
      </c>
      <c r="J5">
        <v>0</v>
      </c>
      <c r="K5">
        <v>0</v>
      </c>
    </row>
    <row r="6" spans="1:11" x14ac:dyDescent="0.35">
      <c r="A6">
        <v>2</v>
      </c>
      <c r="B6" t="s">
        <v>14</v>
      </c>
      <c r="C6" t="s">
        <v>15</v>
      </c>
      <c r="D6" t="s">
        <v>13</v>
      </c>
      <c r="E6">
        <v>79</v>
      </c>
      <c r="H6">
        <v>0</v>
      </c>
      <c r="I6">
        <v>0</v>
      </c>
      <c r="J6">
        <v>0</v>
      </c>
      <c r="K6">
        <v>0</v>
      </c>
    </row>
    <row r="7" spans="1:11" x14ac:dyDescent="0.35">
      <c r="A7">
        <v>3</v>
      </c>
      <c r="B7" t="s">
        <v>16</v>
      </c>
      <c r="C7" t="s">
        <v>17</v>
      </c>
      <c r="D7" t="s">
        <v>13</v>
      </c>
      <c r="E7">
        <v>35</v>
      </c>
      <c r="H7">
        <v>0</v>
      </c>
      <c r="I7">
        <v>0</v>
      </c>
      <c r="J7">
        <v>0</v>
      </c>
      <c r="K7">
        <v>0</v>
      </c>
    </row>
    <row r="8" spans="1:11" x14ac:dyDescent="0.35">
      <c r="A8">
        <v>4</v>
      </c>
      <c r="B8" t="s">
        <v>18</v>
      </c>
      <c r="C8" t="s">
        <v>19</v>
      </c>
      <c r="D8" t="s">
        <v>13</v>
      </c>
      <c r="E8">
        <v>31</v>
      </c>
      <c r="H8">
        <v>0</v>
      </c>
      <c r="I8">
        <v>0</v>
      </c>
      <c r="J8">
        <v>0</v>
      </c>
      <c r="K8">
        <v>0</v>
      </c>
    </row>
    <row r="9" spans="1:11" x14ac:dyDescent="0.35">
      <c r="A9">
        <v>5</v>
      </c>
      <c r="B9" t="s">
        <v>20</v>
      </c>
      <c r="C9" t="s">
        <v>21</v>
      </c>
      <c r="D9" t="s">
        <v>13</v>
      </c>
      <c r="E9">
        <v>49.5</v>
      </c>
      <c r="H9">
        <v>0</v>
      </c>
      <c r="I9">
        <v>0</v>
      </c>
      <c r="J9">
        <v>0</v>
      </c>
      <c r="K9">
        <v>0</v>
      </c>
    </row>
    <row r="10" spans="1:11" x14ac:dyDescent="0.35">
      <c r="A10">
        <v>6</v>
      </c>
      <c r="B10" t="s">
        <v>22</v>
      </c>
      <c r="C10" t="s">
        <v>23</v>
      </c>
      <c r="D10" t="s">
        <v>13</v>
      </c>
      <c r="E10">
        <v>48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>
        <v>7</v>
      </c>
      <c r="B11" t="s">
        <v>24</v>
      </c>
      <c r="C11" t="s">
        <v>25</v>
      </c>
      <c r="D11" t="s">
        <v>13</v>
      </c>
      <c r="E11">
        <v>86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>
        <v>8</v>
      </c>
      <c r="B12" t="s">
        <v>26</v>
      </c>
      <c r="C12" t="s">
        <v>27</v>
      </c>
      <c r="D12" t="s">
        <v>13</v>
      </c>
      <c r="E12">
        <v>51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>
        <v>9</v>
      </c>
      <c r="B13" t="s">
        <v>28</v>
      </c>
      <c r="C13" t="s">
        <v>29</v>
      </c>
      <c r="D13" t="s">
        <v>13</v>
      </c>
      <c r="E13">
        <v>42.5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>
        <v>10</v>
      </c>
      <c r="B14" t="s">
        <v>30</v>
      </c>
      <c r="C14" t="s">
        <v>31</v>
      </c>
      <c r="D14" t="s">
        <v>13</v>
      </c>
      <c r="E14">
        <v>53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>
        <v>11</v>
      </c>
      <c r="B15" t="s">
        <v>32</v>
      </c>
      <c r="C15" t="s">
        <v>33</v>
      </c>
      <c r="D15" t="s">
        <v>13</v>
      </c>
      <c r="E15">
        <v>25.5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>
        <v>12</v>
      </c>
      <c r="B16" t="s">
        <v>34</v>
      </c>
      <c r="C16" t="s">
        <v>35</v>
      </c>
      <c r="D16" t="s">
        <v>13</v>
      </c>
      <c r="E16">
        <v>51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>
        <v>13</v>
      </c>
      <c r="B17" t="s">
        <v>36</v>
      </c>
      <c r="C17" t="s">
        <v>37</v>
      </c>
      <c r="D17" t="s">
        <v>13</v>
      </c>
      <c r="E17">
        <v>37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>
        <v>14</v>
      </c>
      <c r="B18" t="s">
        <v>38</v>
      </c>
      <c r="C18" t="s">
        <v>39</v>
      </c>
      <c r="D18" t="s">
        <v>13</v>
      </c>
      <c r="E18">
        <v>40.5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>
        <v>15</v>
      </c>
      <c r="B19" t="s">
        <v>40</v>
      </c>
      <c r="C19" t="s">
        <v>41</v>
      </c>
      <c r="D19" t="s">
        <v>13</v>
      </c>
      <c r="E19">
        <v>21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>
        <v>16</v>
      </c>
      <c r="B20" t="s">
        <v>42</v>
      </c>
      <c r="C20" t="s">
        <v>43</v>
      </c>
      <c r="D20" t="s">
        <v>13</v>
      </c>
      <c r="E20">
        <v>31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>
        <v>17</v>
      </c>
      <c r="B21" t="s">
        <v>44</v>
      </c>
      <c r="C21" t="s">
        <v>45</v>
      </c>
      <c r="D21" t="s">
        <v>13</v>
      </c>
      <c r="E21">
        <v>34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>
        <v>18</v>
      </c>
      <c r="B22" t="s">
        <v>46</v>
      </c>
      <c r="C22" t="s">
        <v>47</v>
      </c>
      <c r="D22" t="s">
        <v>13</v>
      </c>
      <c r="E22">
        <v>36.5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>
        <v>19</v>
      </c>
      <c r="B23" t="s">
        <v>48</v>
      </c>
      <c r="C23" t="s">
        <v>49</v>
      </c>
      <c r="D23" t="s">
        <v>13</v>
      </c>
      <c r="E23">
        <v>17.5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>
        <v>20</v>
      </c>
      <c r="B24" t="s">
        <v>50</v>
      </c>
      <c r="C24" t="s">
        <v>51</v>
      </c>
      <c r="D24" t="s">
        <v>13</v>
      </c>
      <c r="E24">
        <v>79.5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>
        <v>21</v>
      </c>
      <c r="B25" t="s">
        <v>52</v>
      </c>
      <c r="C25" t="s">
        <v>53</v>
      </c>
      <c r="D25" t="s">
        <v>13</v>
      </c>
      <c r="E25">
        <v>30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>
        <v>22</v>
      </c>
      <c r="B26" t="s">
        <v>54</v>
      </c>
      <c r="C26" t="s">
        <v>55</v>
      </c>
      <c r="D26" t="s">
        <v>13</v>
      </c>
      <c r="E26">
        <v>40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>
        <v>23</v>
      </c>
      <c r="B27" t="s">
        <v>56</v>
      </c>
      <c r="C27" t="s">
        <v>57</v>
      </c>
      <c r="D27" t="s">
        <v>13</v>
      </c>
      <c r="E27">
        <v>25</v>
      </c>
      <c r="H27">
        <v>0</v>
      </c>
      <c r="I27">
        <v>0</v>
      </c>
      <c r="J27">
        <v>0</v>
      </c>
      <c r="K27">
        <v>0</v>
      </c>
    </row>
    <row r="28" spans="1:11" x14ac:dyDescent="0.35">
      <c r="A28">
        <v>24</v>
      </c>
      <c r="B28" t="s">
        <v>58</v>
      </c>
      <c r="C28" t="s">
        <v>59</v>
      </c>
      <c r="D28" t="s">
        <v>13</v>
      </c>
      <c r="E28">
        <v>40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>
        <v>25</v>
      </c>
      <c r="B29" t="s">
        <v>60</v>
      </c>
      <c r="C29" t="s">
        <v>61</v>
      </c>
      <c r="D29" t="s">
        <v>13</v>
      </c>
      <c r="E29">
        <v>32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>
        <v>26</v>
      </c>
      <c r="B30" t="s">
        <v>62</v>
      </c>
      <c r="C30" t="s">
        <v>63</v>
      </c>
      <c r="D30" t="s">
        <v>13</v>
      </c>
      <c r="E30">
        <v>28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>
        <v>27</v>
      </c>
      <c r="B31" t="s">
        <v>64</v>
      </c>
      <c r="C31" t="s">
        <v>65</v>
      </c>
      <c r="D31" t="s">
        <v>13</v>
      </c>
      <c r="E31">
        <v>39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>
        <v>28</v>
      </c>
      <c r="B32" t="s">
        <v>66</v>
      </c>
      <c r="C32" t="s">
        <v>67</v>
      </c>
      <c r="D32" t="s">
        <v>13</v>
      </c>
      <c r="E32">
        <v>46.5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>
        <v>29</v>
      </c>
      <c r="B33" t="s">
        <v>68</v>
      </c>
      <c r="C33" t="s">
        <v>69</v>
      </c>
      <c r="D33" t="s">
        <v>13</v>
      </c>
      <c r="E33">
        <v>29.5</v>
      </c>
      <c r="H33">
        <v>0</v>
      </c>
      <c r="I33">
        <v>0</v>
      </c>
      <c r="J33">
        <v>0</v>
      </c>
      <c r="K33">
        <v>0</v>
      </c>
    </row>
    <row r="34" spans="1:11" x14ac:dyDescent="0.35">
      <c r="A34">
        <v>30</v>
      </c>
      <c r="B34" t="s">
        <v>70</v>
      </c>
      <c r="C34" t="s">
        <v>71</v>
      </c>
      <c r="D34" t="s">
        <v>13</v>
      </c>
      <c r="E34">
        <v>30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>
        <v>31</v>
      </c>
      <c r="B35" t="s">
        <v>72</v>
      </c>
      <c r="C35" t="s">
        <v>73</v>
      </c>
      <c r="D35" t="s">
        <v>13</v>
      </c>
      <c r="E35">
        <v>29.5</v>
      </c>
      <c r="H35">
        <v>0</v>
      </c>
      <c r="I35">
        <v>0</v>
      </c>
      <c r="J35">
        <v>0</v>
      </c>
      <c r="K35">
        <v>0</v>
      </c>
    </row>
    <row r="36" spans="1:11" x14ac:dyDescent="0.35">
      <c r="A36">
        <v>32</v>
      </c>
      <c r="B36" t="s">
        <v>74</v>
      </c>
      <c r="C36" t="s">
        <v>75</v>
      </c>
      <c r="D36" t="s">
        <v>13</v>
      </c>
      <c r="E36">
        <v>62</v>
      </c>
      <c r="H36">
        <v>0</v>
      </c>
      <c r="I36">
        <v>0</v>
      </c>
      <c r="J36">
        <v>0</v>
      </c>
      <c r="K36">
        <v>0</v>
      </c>
    </row>
    <row r="37" spans="1:11" x14ac:dyDescent="0.35">
      <c r="A37">
        <v>33</v>
      </c>
      <c r="B37" t="s">
        <v>76</v>
      </c>
      <c r="C37" t="s">
        <v>77</v>
      </c>
      <c r="D37" t="s">
        <v>13</v>
      </c>
      <c r="E37">
        <v>10</v>
      </c>
      <c r="H37">
        <v>0</v>
      </c>
      <c r="I37">
        <v>0</v>
      </c>
      <c r="J37">
        <v>0</v>
      </c>
      <c r="K37">
        <v>0</v>
      </c>
    </row>
    <row r="38" spans="1:11" x14ac:dyDescent="0.35">
      <c r="A38">
        <v>34</v>
      </c>
      <c r="B38" t="s">
        <v>78</v>
      </c>
      <c r="C38" t="s">
        <v>79</v>
      </c>
      <c r="D38" t="s">
        <v>13</v>
      </c>
      <c r="E38">
        <v>37</v>
      </c>
      <c r="H38">
        <v>0</v>
      </c>
      <c r="I38">
        <v>0</v>
      </c>
      <c r="J38">
        <v>0</v>
      </c>
      <c r="K38">
        <v>0</v>
      </c>
    </row>
    <row r="39" spans="1:11" x14ac:dyDescent="0.35">
      <c r="A39">
        <v>35</v>
      </c>
      <c r="B39" t="s">
        <v>80</v>
      </c>
      <c r="C39" t="s">
        <v>81</v>
      </c>
      <c r="D39" t="s">
        <v>13</v>
      </c>
      <c r="E39">
        <v>73</v>
      </c>
      <c r="H39">
        <v>0</v>
      </c>
      <c r="I39">
        <v>0</v>
      </c>
      <c r="J39">
        <v>0</v>
      </c>
      <c r="K39">
        <v>0</v>
      </c>
    </row>
    <row r="40" spans="1:11" x14ac:dyDescent="0.35">
      <c r="A40">
        <v>36</v>
      </c>
      <c r="B40" t="s">
        <v>82</v>
      </c>
      <c r="C40" t="s">
        <v>83</v>
      </c>
      <c r="D40" t="s">
        <v>13</v>
      </c>
      <c r="E40">
        <v>24</v>
      </c>
      <c r="H40">
        <v>0</v>
      </c>
      <c r="I40">
        <v>0</v>
      </c>
      <c r="J40">
        <v>0</v>
      </c>
      <c r="K40">
        <v>0</v>
      </c>
    </row>
    <row r="41" spans="1:11" x14ac:dyDescent="0.35">
      <c r="A41">
        <v>37</v>
      </c>
      <c r="B41" t="s">
        <v>84</v>
      </c>
      <c r="C41" t="s">
        <v>85</v>
      </c>
      <c r="D41" t="s">
        <v>13</v>
      </c>
      <c r="E41">
        <v>37.5</v>
      </c>
      <c r="H41">
        <v>0</v>
      </c>
      <c r="I41">
        <v>0</v>
      </c>
      <c r="J41">
        <v>0</v>
      </c>
      <c r="K41">
        <v>0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1A97-E656-4BDD-89B1-A84371D12C2B}">
  <dimension ref="A1:R41"/>
  <sheetViews>
    <sheetView tabSelected="1" workbookViewId="0">
      <selection activeCell="M37" sqref="M37"/>
    </sheetView>
  </sheetViews>
  <sheetFormatPr defaultRowHeight="14.5" x14ac:dyDescent="0.35"/>
  <sheetData>
    <row r="1" spans="1:18" ht="17" x14ac:dyDescent="0.45">
      <c r="P1" s="2" t="s">
        <v>86</v>
      </c>
      <c r="Q1">
        <f>AVERAGE(E5:E41)</f>
        <v>41.729729729729726</v>
      </c>
      <c r="R1">
        <f>AVERAGE(F5:F41)</f>
        <v>68.675675675675677</v>
      </c>
    </row>
    <row r="2" spans="1:18" ht="17" x14ac:dyDescent="0.45">
      <c r="P2" s="2" t="s">
        <v>87</v>
      </c>
      <c r="Q2">
        <f>STDEV(E5:E41)</f>
        <v>18.148918928086552</v>
      </c>
      <c r="R2">
        <f>STDEV(F5:F41)</f>
        <v>16.747809233273291</v>
      </c>
    </row>
    <row r="4" spans="1:18" ht="17" x14ac:dyDescent="0.45">
      <c r="A4" s="1" t="s">
        <v>0</v>
      </c>
      <c r="B4" s="1" t="s">
        <v>1</v>
      </c>
      <c r="C4" s="1" t="s">
        <v>2</v>
      </c>
      <c r="D4" s="1" t="s">
        <v>3</v>
      </c>
      <c r="E4" s="3" t="s">
        <v>88</v>
      </c>
      <c r="F4" s="3" t="s">
        <v>89</v>
      </c>
      <c r="G4" s="3" t="s">
        <v>90</v>
      </c>
      <c r="H4" s="3" t="s">
        <v>94</v>
      </c>
      <c r="I4" s="3" t="s">
        <v>95</v>
      </c>
      <c r="J4" s="3" t="s">
        <v>96</v>
      </c>
      <c r="M4" s="2"/>
    </row>
    <row r="5" spans="1:18" ht="17" x14ac:dyDescent="0.45">
      <c r="A5">
        <v>7</v>
      </c>
      <c r="B5" s="4" t="s">
        <v>24</v>
      </c>
      <c r="C5" t="s">
        <v>25</v>
      </c>
      <c r="D5" t="s">
        <v>13</v>
      </c>
      <c r="E5">
        <v>86</v>
      </c>
      <c r="F5">
        <v>91</v>
      </c>
      <c r="G5">
        <f>SUM(E5:F5)</f>
        <v>177</v>
      </c>
      <c r="H5">
        <f>G5/2</f>
        <v>88.5</v>
      </c>
      <c r="I5">
        <v>0</v>
      </c>
      <c r="J5">
        <f>45-I5</f>
        <v>45</v>
      </c>
      <c r="K5" s="7" t="s">
        <v>91</v>
      </c>
      <c r="M5" s="2"/>
      <c r="O5">
        <v>37</v>
      </c>
    </row>
    <row r="6" spans="1:18" ht="17" x14ac:dyDescent="0.45">
      <c r="A6">
        <v>20</v>
      </c>
      <c r="B6" s="4" t="s">
        <v>50</v>
      </c>
      <c r="C6" t="s">
        <v>51</v>
      </c>
      <c r="D6" t="s">
        <v>13</v>
      </c>
      <c r="E6">
        <v>79.5</v>
      </c>
      <c r="F6">
        <v>94</v>
      </c>
      <c r="G6">
        <f>SUM(E6:F6)</f>
        <v>173.5</v>
      </c>
      <c r="H6">
        <f>G6/2</f>
        <v>86.75</v>
      </c>
      <c r="I6">
        <v>0</v>
      </c>
      <c r="J6">
        <f>45-I6</f>
        <v>45</v>
      </c>
      <c r="K6" s="7" t="s">
        <v>91</v>
      </c>
      <c r="M6" s="2"/>
      <c r="O6" s="8">
        <v>11</v>
      </c>
      <c r="P6">
        <v>0.3</v>
      </c>
    </row>
    <row r="7" spans="1:18" ht="17" x14ac:dyDescent="0.45">
      <c r="A7">
        <v>14</v>
      </c>
      <c r="B7" s="4" t="s">
        <v>38</v>
      </c>
      <c r="C7" t="s">
        <v>39</v>
      </c>
      <c r="D7" t="s">
        <v>13</v>
      </c>
      <c r="E7">
        <v>74</v>
      </c>
      <c r="F7">
        <v>87</v>
      </c>
      <c r="G7">
        <f>SUM(E7:F7)</f>
        <v>161</v>
      </c>
      <c r="H7">
        <f>G7/2</f>
        <v>80.5</v>
      </c>
      <c r="I7">
        <v>3</v>
      </c>
      <c r="J7">
        <f>45-I7</f>
        <v>42</v>
      </c>
      <c r="K7" s="7" t="s">
        <v>91</v>
      </c>
      <c r="M7" s="2"/>
      <c r="O7" s="8">
        <v>14</v>
      </c>
      <c r="P7">
        <v>0.4</v>
      </c>
    </row>
    <row r="8" spans="1:18" ht="17" x14ac:dyDescent="0.45">
      <c r="A8">
        <v>2</v>
      </c>
      <c r="B8" s="4" t="s">
        <v>14</v>
      </c>
      <c r="C8" t="s">
        <v>15</v>
      </c>
      <c r="D8" t="s">
        <v>13</v>
      </c>
      <c r="E8">
        <v>79</v>
      </c>
      <c r="F8">
        <v>81</v>
      </c>
      <c r="G8">
        <f>SUM(E8:F8)</f>
        <v>160</v>
      </c>
      <c r="H8">
        <f>G8/2</f>
        <v>80</v>
      </c>
      <c r="I8">
        <v>0</v>
      </c>
      <c r="J8">
        <f>45-I8</f>
        <v>45</v>
      </c>
      <c r="K8" s="7" t="s">
        <v>91</v>
      </c>
      <c r="M8" s="2"/>
      <c r="O8" s="8">
        <v>12</v>
      </c>
      <c r="P8">
        <v>0.3</v>
      </c>
    </row>
    <row r="9" spans="1:18" x14ac:dyDescent="0.35">
      <c r="A9">
        <v>32</v>
      </c>
      <c r="B9" s="4" t="s">
        <v>74</v>
      </c>
      <c r="C9" t="s">
        <v>75</v>
      </c>
      <c r="D9" t="s">
        <v>13</v>
      </c>
      <c r="E9">
        <v>62</v>
      </c>
      <c r="F9">
        <v>92</v>
      </c>
      <c r="G9">
        <f>SUM(E9:F9)</f>
        <v>154</v>
      </c>
      <c r="H9">
        <f>G9/2</f>
        <v>77</v>
      </c>
      <c r="I9">
        <v>0</v>
      </c>
      <c r="J9">
        <f>45-I9</f>
        <v>45</v>
      </c>
      <c r="K9" s="7" t="s">
        <v>91</v>
      </c>
    </row>
    <row r="10" spans="1:18" x14ac:dyDescent="0.35">
      <c r="A10">
        <v>35</v>
      </c>
      <c r="B10" s="4" t="s">
        <v>80</v>
      </c>
      <c r="C10" t="s">
        <v>81</v>
      </c>
      <c r="D10" t="s">
        <v>13</v>
      </c>
      <c r="E10">
        <v>73</v>
      </c>
      <c r="F10">
        <v>70</v>
      </c>
      <c r="G10">
        <f>SUM(E10:F10)</f>
        <v>143</v>
      </c>
      <c r="H10">
        <f>G10/2</f>
        <v>71.5</v>
      </c>
      <c r="I10">
        <v>0</v>
      </c>
      <c r="J10">
        <f>45-I10</f>
        <v>45</v>
      </c>
      <c r="K10" s="7" t="s">
        <v>91</v>
      </c>
    </row>
    <row r="11" spans="1:18" x14ac:dyDescent="0.35">
      <c r="A11">
        <v>5</v>
      </c>
      <c r="B11" s="4" t="s">
        <v>20</v>
      </c>
      <c r="C11" t="s">
        <v>21</v>
      </c>
      <c r="D11" t="s">
        <v>13</v>
      </c>
      <c r="E11">
        <v>49.5</v>
      </c>
      <c r="F11">
        <v>90</v>
      </c>
      <c r="G11">
        <f>SUM(E11:F11)</f>
        <v>139.5</v>
      </c>
      <c r="H11">
        <f>G11/2</f>
        <v>69.75</v>
      </c>
      <c r="I11">
        <v>0</v>
      </c>
      <c r="J11">
        <f>45-I11</f>
        <v>45</v>
      </c>
      <c r="K11" s="7" t="s">
        <v>91</v>
      </c>
    </row>
    <row r="12" spans="1:18" x14ac:dyDescent="0.35">
      <c r="A12">
        <v>12</v>
      </c>
      <c r="B12" s="4" t="s">
        <v>34</v>
      </c>
      <c r="C12" t="s">
        <v>35</v>
      </c>
      <c r="D12" t="s">
        <v>13</v>
      </c>
      <c r="E12">
        <v>51</v>
      </c>
      <c r="F12">
        <v>85</v>
      </c>
      <c r="G12">
        <f>SUM(E12:F12)</f>
        <v>136</v>
      </c>
      <c r="H12">
        <f>G12/2</f>
        <v>68</v>
      </c>
      <c r="I12">
        <v>0</v>
      </c>
      <c r="J12">
        <f>45-I12</f>
        <v>45</v>
      </c>
      <c r="K12" s="7" t="s">
        <v>91</v>
      </c>
    </row>
    <row r="13" spans="1:18" x14ac:dyDescent="0.35">
      <c r="A13">
        <v>10</v>
      </c>
      <c r="B13" s="4" t="s">
        <v>30</v>
      </c>
      <c r="C13" t="s">
        <v>31</v>
      </c>
      <c r="D13" t="s">
        <v>13</v>
      </c>
      <c r="E13">
        <v>53</v>
      </c>
      <c r="F13">
        <v>81.5</v>
      </c>
      <c r="G13">
        <f>SUM(E13:F13)</f>
        <v>134.5</v>
      </c>
      <c r="H13">
        <f>G13/2</f>
        <v>67.25</v>
      </c>
      <c r="I13">
        <v>0</v>
      </c>
      <c r="J13">
        <f>45-I13</f>
        <v>45</v>
      </c>
      <c r="K13" s="7" t="s">
        <v>91</v>
      </c>
    </row>
    <row r="14" spans="1:18" x14ac:dyDescent="0.35">
      <c r="A14">
        <v>8</v>
      </c>
      <c r="B14" s="4" t="s">
        <v>26</v>
      </c>
      <c r="C14" t="s">
        <v>27</v>
      </c>
      <c r="D14" t="s">
        <v>13</v>
      </c>
      <c r="E14">
        <v>51</v>
      </c>
      <c r="F14">
        <v>76</v>
      </c>
      <c r="G14">
        <f>SUM(E14:F14)</f>
        <v>127</v>
      </c>
      <c r="H14">
        <f>G14/2</f>
        <v>63.5</v>
      </c>
      <c r="I14">
        <v>0</v>
      </c>
      <c r="J14">
        <f>45-I14</f>
        <v>45</v>
      </c>
      <c r="K14" s="7" t="s">
        <v>91</v>
      </c>
    </row>
    <row r="15" spans="1:18" x14ac:dyDescent="0.35">
      <c r="A15">
        <v>6</v>
      </c>
      <c r="B15" s="4" t="s">
        <v>22</v>
      </c>
      <c r="C15" t="s">
        <v>23</v>
      </c>
      <c r="D15" t="s">
        <v>13</v>
      </c>
      <c r="E15">
        <v>48</v>
      </c>
      <c r="F15">
        <v>78</v>
      </c>
      <c r="G15">
        <f>SUM(E15:F15)</f>
        <v>126</v>
      </c>
      <c r="H15">
        <f>G15/2</f>
        <v>63</v>
      </c>
      <c r="I15">
        <v>3</v>
      </c>
      <c r="J15">
        <f>45-I15</f>
        <v>42</v>
      </c>
      <c r="K15" s="7" t="s">
        <v>91</v>
      </c>
    </row>
    <row r="16" spans="1:18" x14ac:dyDescent="0.35">
      <c r="A16">
        <v>28</v>
      </c>
      <c r="B16" s="5" t="s">
        <v>66</v>
      </c>
      <c r="C16" t="s">
        <v>67</v>
      </c>
      <c r="D16" t="s">
        <v>13</v>
      </c>
      <c r="E16">
        <v>46.5</v>
      </c>
      <c r="F16">
        <v>78</v>
      </c>
      <c r="G16">
        <f>SUM(E16:F16)</f>
        <v>124.5</v>
      </c>
      <c r="H16">
        <f>G16/2</f>
        <v>62.25</v>
      </c>
      <c r="I16">
        <v>3</v>
      </c>
      <c r="J16">
        <f>45-I16</f>
        <v>42</v>
      </c>
      <c r="K16" s="7" t="s">
        <v>92</v>
      </c>
    </row>
    <row r="17" spans="1:11" x14ac:dyDescent="0.35">
      <c r="A17">
        <v>1</v>
      </c>
      <c r="B17" s="5" t="s">
        <v>11</v>
      </c>
      <c r="C17" t="s">
        <v>12</v>
      </c>
      <c r="D17" t="s">
        <v>13</v>
      </c>
      <c r="E17">
        <v>49</v>
      </c>
      <c r="F17">
        <v>69</v>
      </c>
      <c r="G17">
        <f>SUM(E17:F17)</f>
        <v>118</v>
      </c>
      <c r="H17">
        <f>G17/2</f>
        <v>59</v>
      </c>
      <c r="I17">
        <v>6</v>
      </c>
      <c r="J17">
        <f>45-I17</f>
        <v>39</v>
      </c>
      <c r="K17" s="7" t="s">
        <v>92</v>
      </c>
    </row>
    <row r="18" spans="1:11" x14ac:dyDescent="0.35">
      <c r="A18">
        <v>18</v>
      </c>
      <c r="B18" s="5" t="s">
        <v>46</v>
      </c>
      <c r="C18" t="s">
        <v>47</v>
      </c>
      <c r="D18" t="s">
        <v>13</v>
      </c>
      <c r="E18">
        <v>36.5</v>
      </c>
      <c r="F18">
        <v>79</v>
      </c>
      <c r="G18">
        <f>SUM(E18:F18)</f>
        <v>115.5</v>
      </c>
      <c r="H18">
        <f>G18/2</f>
        <v>57.75</v>
      </c>
      <c r="I18">
        <v>0</v>
      </c>
      <c r="J18">
        <f>45-I18</f>
        <v>45</v>
      </c>
      <c r="K18" s="7" t="s">
        <v>92</v>
      </c>
    </row>
    <row r="19" spans="1:11" x14ac:dyDescent="0.35">
      <c r="A19">
        <v>17</v>
      </c>
      <c r="B19" s="5" t="s">
        <v>44</v>
      </c>
      <c r="C19" t="s">
        <v>45</v>
      </c>
      <c r="D19" t="s">
        <v>13</v>
      </c>
      <c r="E19">
        <v>34</v>
      </c>
      <c r="F19">
        <v>78</v>
      </c>
      <c r="G19">
        <f>SUM(E19:F19)</f>
        <v>112</v>
      </c>
      <c r="H19">
        <f>G19/2</f>
        <v>56</v>
      </c>
      <c r="I19">
        <v>6</v>
      </c>
      <c r="J19">
        <f>45-I19</f>
        <v>39</v>
      </c>
      <c r="K19" s="7" t="s">
        <v>92</v>
      </c>
    </row>
    <row r="20" spans="1:11" x14ac:dyDescent="0.35">
      <c r="A20">
        <v>25</v>
      </c>
      <c r="B20" s="5" t="s">
        <v>60</v>
      </c>
      <c r="C20" t="s">
        <v>61</v>
      </c>
      <c r="D20" t="s">
        <v>13</v>
      </c>
      <c r="E20">
        <v>32</v>
      </c>
      <c r="F20">
        <v>79</v>
      </c>
      <c r="G20">
        <f>SUM(E20:F20)</f>
        <v>111</v>
      </c>
      <c r="H20">
        <f>G20/2</f>
        <v>55.5</v>
      </c>
      <c r="I20">
        <v>7</v>
      </c>
      <c r="J20">
        <f>45-I20</f>
        <v>38</v>
      </c>
      <c r="K20" s="7" t="s">
        <v>92</v>
      </c>
    </row>
    <row r="21" spans="1:11" x14ac:dyDescent="0.35">
      <c r="A21">
        <v>9</v>
      </c>
      <c r="B21" s="5" t="s">
        <v>28</v>
      </c>
      <c r="C21" t="s">
        <v>29</v>
      </c>
      <c r="D21" t="s">
        <v>13</v>
      </c>
      <c r="E21">
        <v>42.5</v>
      </c>
      <c r="F21">
        <v>68.5</v>
      </c>
      <c r="G21">
        <f>SUM(E21:F21)</f>
        <v>111</v>
      </c>
      <c r="H21">
        <f>G21/2</f>
        <v>55.5</v>
      </c>
      <c r="I21">
        <v>0</v>
      </c>
      <c r="J21">
        <f>45-I21</f>
        <v>45</v>
      </c>
      <c r="K21" s="7" t="s">
        <v>92</v>
      </c>
    </row>
    <row r="22" spans="1:11" x14ac:dyDescent="0.35">
      <c r="A22">
        <v>21</v>
      </c>
      <c r="B22" s="5" t="s">
        <v>52</v>
      </c>
      <c r="C22" t="s">
        <v>53</v>
      </c>
      <c r="D22" t="s">
        <v>13</v>
      </c>
      <c r="E22">
        <v>30</v>
      </c>
      <c r="F22">
        <v>80</v>
      </c>
      <c r="G22">
        <f>SUM(E22:F22)</f>
        <v>110</v>
      </c>
      <c r="H22">
        <f>G22/2</f>
        <v>55</v>
      </c>
      <c r="I22">
        <v>0</v>
      </c>
      <c r="J22">
        <f>45-I22</f>
        <v>45</v>
      </c>
      <c r="K22" s="7" t="s">
        <v>92</v>
      </c>
    </row>
    <row r="23" spans="1:11" x14ac:dyDescent="0.35">
      <c r="A23">
        <v>37</v>
      </c>
      <c r="B23" s="5" t="s">
        <v>84</v>
      </c>
      <c r="C23" t="s">
        <v>85</v>
      </c>
      <c r="D23" t="s">
        <v>13</v>
      </c>
      <c r="E23">
        <v>37.5</v>
      </c>
      <c r="F23">
        <v>71</v>
      </c>
      <c r="G23">
        <f>SUM(E23:F23)</f>
        <v>108.5</v>
      </c>
      <c r="H23">
        <f>G23/2</f>
        <v>54.25</v>
      </c>
      <c r="I23">
        <v>6</v>
      </c>
      <c r="J23">
        <f>45-I23</f>
        <v>39</v>
      </c>
      <c r="K23" s="7" t="s">
        <v>92</v>
      </c>
    </row>
    <row r="24" spans="1:11" x14ac:dyDescent="0.35">
      <c r="A24">
        <v>22</v>
      </c>
      <c r="B24" s="5" t="s">
        <v>54</v>
      </c>
      <c r="C24" t="s">
        <v>55</v>
      </c>
      <c r="D24" t="s">
        <v>13</v>
      </c>
      <c r="E24">
        <v>40</v>
      </c>
      <c r="F24">
        <v>67</v>
      </c>
      <c r="G24">
        <f>SUM(E24:F24)</f>
        <v>107</v>
      </c>
      <c r="H24">
        <f>G24/2</f>
        <v>53.5</v>
      </c>
      <c r="I24">
        <v>0</v>
      </c>
      <c r="J24">
        <f>45-I24</f>
        <v>45</v>
      </c>
      <c r="K24" s="7" t="s">
        <v>92</v>
      </c>
    </row>
    <row r="25" spans="1:11" x14ac:dyDescent="0.35">
      <c r="A25">
        <v>30</v>
      </c>
      <c r="B25" s="5" t="s">
        <v>70</v>
      </c>
      <c r="C25" t="s">
        <v>71</v>
      </c>
      <c r="D25" t="s">
        <v>13</v>
      </c>
      <c r="E25">
        <v>30</v>
      </c>
      <c r="F25">
        <v>76</v>
      </c>
      <c r="G25">
        <f>SUM(E25:F25)</f>
        <v>106</v>
      </c>
      <c r="H25">
        <f>G25/2</f>
        <v>53</v>
      </c>
      <c r="I25">
        <v>0</v>
      </c>
      <c r="J25">
        <f>45-I25</f>
        <v>45</v>
      </c>
      <c r="K25" s="7" t="s">
        <v>92</v>
      </c>
    </row>
    <row r="26" spans="1:11" x14ac:dyDescent="0.35">
      <c r="A26">
        <v>13</v>
      </c>
      <c r="B26" s="5" t="s">
        <v>36</v>
      </c>
      <c r="C26" t="s">
        <v>37</v>
      </c>
      <c r="D26" t="s">
        <v>13</v>
      </c>
      <c r="E26">
        <v>37</v>
      </c>
      <c r="F26">
        <v>64.5</v>
      </c>
      <c r="G26">
        <f>SUM(E26:F26)</f>
        <v>101.5</v>
      </c>
      <c r="H26">
        <f>G26/2</f>
        <v>50.75</v>
      </c>
      <c r="I26">
        <v>2</v>
      </c>
      <c r="J26">
        <f>45-I26</f>
        <v>43</v>
      </c>
      <c r="K26" s="7" t="s">
        <v>92</v>
      </c>
    </row>
    <row r="27" spans="1:11" x14ac:dyDescent="0.35">
      <c r="A27">
        <v>26</v>
      </c>
      <c r="B27" s="5" t="s">
        <v>62</v>
      </c>
      <c r="C27" t="s">
        <v>63</v>
      </c>
      <c r="D27" t="s">
        <v>13</v>
      </c>
      <c r="E27">
        <v>28</v>
      </c>
      <c r="F27">
        <v>72</v>
      </c>
      <c r="G27">
        <f>SUM(E27:F27)</f>
        <v>100</v>
      </c>
      <c r="H27">
        <f>G27/2</f>
        <v>50</v>
      </c>
      <c r="I27">
        <v>3</v>
      </c>
      <c r="J27">
        <f>45-I27</f>
        <v>42</v>
      </c>
      <c r="K27" s="7" t="s">
        <v>92</v>
      </c>
    </row>
    <row r="28" spans="1:11" x14ac:dyDescent="0.35">
      <c r="A28">
        <v>31</v>
      </c>
      <c r="B28" s="5" t="s">
        <v>72</v>
      </c>
      <c r="C28" t="s">
        <v>73</v>
      </c>
      <c r="D28" t="s">
        <v>13</v>
      </c>
      <c r="E28">
        <v>29.5</v>
      </c>
      <c r="F28">
        <v>68.5</v>
      </c>
      <c r="G28">
        <f>SUM(E28:F28)</f>
        <v>98</v>
      </c>
      <c r="H28">
        <f>G28/2</f>
        <v>49</v>
      </c>
      <c r="I28">
        <v>3</v>
      </c>
      <c r="J28">
        <f>45-I28</f>
        <v>42</v>
      </c>
      <c r="K28" s="7" t="s">
        <v>92</v>
      </c>
    </row>
    <row r="29" spans="1:11" x14ac:dyDescent="0.35">
      <c r="A29">
        <v>3</v>
      </c>
      <c r="B29" s="5" t="s">
        <v>16</v>
      </c>
      <c r="C29" t="s">
        <v>17</v>
      </c>
      <c r="D29" t="s">
        <v>13</v>
      </c>
      <c r="E29">
        <v>35</v>
      </c>
      <c r="F29">
        <v>62</v>
      </c>
      <c r="G29">
        <f>SUM(E29:F29)</f>
        <v>97</v>
      </c>
      <c r="H29">
        <f>G29/2</f>
        <v>48.5</v>
      </c>
      <c r="I29">
        <v>0</v>
      </c>
      <c r="J29">
        <f>45-I29</f>
        <v>45</v>
      </c>
      <c r="K29" s="7" t="s">
        <v>92</v>
      </c>
    </row>
    <row r="30" spans="1:11" x14ac:dyDescent="0.35">
      <c r="A30">
        <v>11</v>
      </c>
      <c r="B30" s="6" t="s">
        <v>32</v>
      </c>
      <c r="C30" t="s">
        <v>33</v>
      </c>
      <c r="D30" t="s">
        <v>13</v>
      </c>
      <c r="E30">
        <v>25.5</v>
      </c>
      <c r="F30">
        <v>71</v>
      </c>
      <c r="G30">
        <f>SUM(E30:F30)</f>
        <v>96.5</v>
      </c>
      <c r="H30">
        <f>G30/2</f>
        <v>48.25</v>
      </c>
      <c r="I30">
        <v>0</v>
      </c>
      <c r="J30">
        <f>45-I30</f>
        <v>45</v>
      </c>
      <c r="K30" s="7" t="s">
        <v>92</v>
      </c>
    </row>
    <row r="31" spans="1:11" x14ac:dyDescent="0.35">
      <c r="A31">
        <v>24</v>
      </c>
      <c r="B31" s="6" t="s">
        <v>58</v>
      </c>
      <c r="C31" t="s">
        <v>59</v>
      </c>
      <c r="D31" t="s">
        <v>13</v>
      </c>
      <c r="E31">
        <v>40</v>
      </c>
      <c r="F31">
        <v>55.5</v>
      </c>
      <c r="G31">
        <f>SUM(E31:F31)</f>
        <v>95.5</v>
      </c>
      <c r="H31">
        <f>G31/2</f>
        <v>47.75</v>
      </c>
      <c r="I31">
        <v>0</v>
      </c>
      <c r="J31">
        <f>45-I31</f>
        <v>45</v>
      </c>
      <c r="K31" s="7" t="s">
        <v>93</v>
      </c>
    </row>
    <row r="32" spans="1:11" x14ac:dyDescent="0.35">
      <c r="A32">
        <v>16</v>
      </c>
      <c r="B32" s="6" t="s">
        <v>42</v>
      </c>
      <c r="C32" t="s">
        <v>43</v>
      </c>
      <c r="D32" t="s">
        <v>13</v>
      </c>
      <c r="E32">
        <v>31</v>
      </c>
      <c r="F32">
        <v>63</v>
      </c>
      <c r="G32">
        <f>SUM(E32:F32)</f>
        <v>94</v>
      </c>
      <c r="H32">
        <f>G32/2</f>
        <v>47</v>
      </c>
      <c r="I32">
        <v>3</v>
      </c>
      <c r="J32">
        <f>45-I32</f>
        <v>42</v>
      </c>
      <c r="K32" s="7" t="s">
        <v>93</v>
      </c>
    </row>
    <row r="33" spans="1:11" x14ac:dyDescent="0.35">
      <c r="A33">
        <v>27</v>
      </c>
      <c r="B33" s="6" t="s">
        <v>64</v>
      </c>
      <c r="C33" t="s">
        <v>65</v>
      </c>
      <c r="D33" t="s">
        <v>13</v>
      </c>
      <c r="E33">
        <v>39</v>
      </c>
      <c r="F33">
        <v>51</v>
      </c>
      <c r="G33">
        <f>SUM(E33:F33)</f>
        <v>90</v>
      </c>
      <c r="H33">
        <f>G33/2</f>
        <v>45</v>
      </c>
      <c r="I33">
        <v>3</v>
      </c>
      <c r="J33">
        <f>45-I33</f>
        <v>42</v>
      </c>
      <c r="K33" s="7" t="s">
        <v>93</v>
      </c>
    </row>
    <row r="34" spans="1:11" x14ac:dyDescent="0.35">
      <c r="A34">
        <v>36</v>
      </c>
      <c r="B34" s="6" t="s">
        <v>82</v>
      </c>
      <c r="C34" t="s">
        <v>83</v>
      </c>
      <c r="D34" t="s">
        <v>13</v>
      </c>
      <c r="E34">
        <v>24</v>
      </c>
      <c r="F34">
        <v>63.5</v>
      </c>
      <c r="G34">
        <f>SUM(E34:F34)</f>
        <v>87.5</v>
      </c>
      <c r="H34">
        <f>G34/2</f>
        <v>43.75</v>
      </c>
      <c r="I34">
        <v>6</v>
      </c>
      <c r="J34">
        <f>45-I34</f>
        <v>39</v>
      </c>
      <c r="K34" s="7" t="s">
        <v>93</v>
      </c>
    </row>
    <row r="35" spans="1:11" x14ac:dyDescent="0.35">
      <c r="A35">
        <v>34</v>
      </c>
      <c r="B35" s="6" t="s">
        <v>78</v>
      </c>
      <c r="C35" t="s">
        <v>79</v>
      </c>
      <c r="D35" t="s">
        <v>13</v>
      </c>
      <c r="E35">
        <v>37</v>
      </c>
      <c r="F35">
        <v>49</v>
      </c>
      <c r="G35">
        <f>SUM(E35:F35)</f>
        <v>86</v>
      </c>
      <c r="H35">
        <f>G35/2</f>
        <v>43</v>
      </c>
      <c r="I35">
        <v>0</v>
      </c>
      <c r="J35">
        <f>45-I35</f>
        <v>45</v>
      </c>
      <c r="K35" s="7" t="s">
        <v>93</v>
      </c>
    </row>
    <row r="36" spans="1:11" x14ac:dyDescent="0.35">
      <c r="A36">
        <v>29</v>
      </c>
      <c r="B36" s="6" t="s">
        <v>68</v>
      </c>
      <c r="C36" t="s">
        <v>69</v>
      </c>
      <c r="D36" t="s">
        <v>13</v>
      </c>
      <c r="E36">
        <v>29.5</v>
      </c>
      <c r="F36">
        <v>53</v>
      </c>
      <c r="G36">
        <f>SUM(E36:F36)</f>
        <v>82.5</v>
      </c>
      <c r="H36">
        <f>G36/2</f>
        <v>41.25</v>
      </c>
      <c r="I36">
        <v>0</v>
      </c>
      <c r="J36">
        <f>45-I36</f>
        <v>45</v>
      </c>
      <c r="K36" s="7" t="s">
        <v>93</v>
      </c>
    </row>
    <row r="37" spans="1:11" x14ac:dyDescent="0.35">
      <c r="A37">
        <v>15</v>
      </c>
      <c r="B37" s="6" t="s">
        <v>40</v>
      </c>
      <c r="C37" t="s">
        <v>41</v>
      </c>
      <c r="D37" t="s">
        <v>13</v>
      </c>
      <c r="E37">
        <v>21</v>
      </c>
      <c r="F37">
        <v>54</v>
      </c>
      <c r="G37">
        <f>SUM(E37:F37)</f>
        <v>75</v>
      </c>
      <c r="H37">
        <f>G37/2</f>
        <v>37.5</v>
      </c>
      <c r="I37">
        <v>0</v>
      </c>
      <c r="J37">
        <f>45-I37</f>
        <v>45</v>
      </c>
      <c r="K37" s="7" t="s">
        <v>93</v>
      </c>
    </row>
    <row r="38" spans="1:11" x14ac:dyDescent="0.35">
      <c r="A38">
        <v>19</v>
      </c>
      <c r="B38" s="6" t="s">
        <v>48</v>
      </c>
      <c r="C38" t="s">
        <v>49</v>
      </c>
      <c r="D38" t="s">
        <v>13</v>
      </c>
      <c r="E38">
        <v>17.5</v>
      </c>
      <c r="F38">
        <v>52</v>
      </c>
      <c r="G38">
        <f>SUM(E38:F38)</f>
        <v>69.5</v>
      </c>
      <c r="H38">
        <f>G38/2</f>
        <v>34.75</v>
      </c>
      <c r="I38">
        <v>0</v>
      </c>
      <c r="J38">
        <f>45-I38</f>
        <v>45</v>
      </c>
      <c r="K38" s="7" t="s">
        <v>93</v>
      </c>
    </row>
    <row r="39" spans="1:11" x14ac:dyDescent="0.35">
      <c r="A39">
        <v>4</v>
      </c>
      <c r="B39" s="6" t="s">
        <v>18</v>
      </c>
      <c r="C39" t="s">
        <v>19</v>
      </c>
      <c r="D39" t="s">
        <v>13</v>
      </c>
      <c r="E39">
        <v>31</v>
      </c>
      <c r="F39">
        <v>36</v>
      </c>
      <c r="G39">
        <f>SUM(E39:F39)</f>
        <v>67</v>
      </c>
      <c r="H39">
        <f>G39/2</f>
        <v>33.5</v>
      </c>
      <c r="I39">
        <v>3</v>
      </c>
      <c r="J39">
        <f>45-I39</f>
        <v>42</v>
      </c>
      <c r="K39" s="7" t="s">
        <v>93</v>
      </c>
    </row>
    <row r="40" spans="1:11" x14ac:dyDescent="0.35">
      <c r="A40">
        <v>23</v>
      </c>
      <c r="B40" s="6" t="s">
        <v>56</v>
      </c>
      <c r="C40" t="s">
        <v>57</v>
      </c>
      <c r="D40" t="s">
        <v>13</v>
      </c>
      <c r="E40">
        <v>25</v>
      </c>
      <c r="F40">
        <v>35</v>
      </c>
      <c r="G40">
        <f>SUM(E40:F40)</f>
        <v>60</v>
      </c>
      <c r="H40">
        <f>G40/2</f>
        <v>30</v>
      </c>
      <c r="I40">
        <v>0</v>
      </c>
      <c r="J40">
        <f>45-I40</f>
        <v>45</v>
      </c>
      <c r="K40" s="7" t="s">
        <v>93</v>
      </c>
    </row>
    <row r="41" spans="1:11" x14ac:dyDescent="0.35">
      <c r="A41">
        <v>33</v>
      </c>
      <c r="B41" s="6" t="s">
        <v>76</v>
      </c>
      <c r="C41" t="s">
        <v>77</v>
      </c>
      <c r="D41" t="s">
        <v>13</v>
      </c>
      <c r="E41">
        <v>10</v>
      </c>
      <c r="F41">
        <v>20</v>
      </c>
      <c r="G41">
        <f>SUM(E41:F41)</f>
        <v>30</v>
      </c>
      <c r="H41">
        <f>G41/2</f>
        <v>15</v>
      </c>
      <c r="I41">
        <v>3</v>
      </c>
      <c r="J41">
        <f>45-I41</f>
        <v>42</v>
      </c>
      <c r="K41" s="7" t="s">
        <v>93</v>
      </c>
    </row>
  </sheetData>
  <autoFilter ref="A4:J4" xr:uid="{2D651A97-E656-4BDD-89B1-A84371D12C2B}">
    <sortState xmlns:xlrd2="http://schemas.microsoft.com/office/spreadsheetml/2017/richdata2" ref="A5:J41">
      <sortCondition descending="1" ref="G4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Worksheet</vt:lpstr>
      <vt:lpstr>그래프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Seungho Jeon</cp:lastModifiedBy>
  <dcterms:created xsi:type="dcterms:W3CDTF">2026-05-05T23:37:56Z</dcterms:created>
  <dcterms:modified xsi:type="dcterms:W3CDTF">2026-06-16T23:31:26Z</dcterms:modified>
  <cp:category/>
</cp:coreProperties>
</file>