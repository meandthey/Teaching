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Desktop\Teaching\재정학\03_Exams\오전반 시험 결과 및 성적\"/>
    </mc:Choice>
  </mc:AlternateContent>
  <xr:revisionPtr revIDLastSave="0" documentId="13_ncr:1_{B9665E83-E22F-49F4-888D-1929280EB2E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중간고사 원본" sheetId="2" r:id="rId1"/>
    <sheet name="중간고사 통계" sheetId="1" r:id="rId2"/>
  </sheets>
  <definedNames>
    <definedName name="_xlnm._FilterDatabase" localSheetId="1" hidden="1">'중간고사 통계'!$A$4:$K$4</definedName>
    <definedName name="_xlchart.v1.0" hidden="1">'중간고사 통계'!$E$5:$E$33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</calcChain>
</file>

<file path=xl/sharedStrings.xml><?xml version="1.0" encoding="utf-8"?>
<sst xmlns="http://schemas.openxmlformats.org/spreadsheetml/2006/main" count="208" uniqueCount="81">
  <si>
    <t>순번</t>
  </si>
  <si>
    <t>이름</t>
  </si>
  <si>
    <t>학번</t>
  </si>
  <si>
    <t>학과</t>
  </si>
  <si>
    <t>소속2</t>
  </si>
  <si>
    <t>소속3</t>
  </si>
  <si>
    <t>출석</t>
  </si>
  <si>
    <t>지각</t>
  </si>
  <si>
    <t>결석</t>
  </si>
  <si>
    <t>미결</t>
  </si>
  <si>
    <t>강준혁(2022##80)</t>
  </si>
  <si>
    <t>S20222680</t>
  </si>
  <si>
    <t>경제학과</t>
  </si>
  <si>
    <t>김나영(2024##10)</t>
  </si>
  <si>
    <t>S20242710</t>
  </si>
  <si>
    <t>김민서(2023##26)</t>
  </si>
  <si>
    <t>S20237226</t>
  </si>
  <si>
    <t>김성민(2023##39)</t>
  </si>
  <si>
    <t>S20232639</t>
  </si>
  <si>
    <t>김정목(2022##84)</t>
  </si>
  <si>
    <t>S20222684</t>
  </si>
  <si>
    <t>김주미(2023##46)</t>
  </si>
  <si>
    <t>S20232546</t>
  </si>
  <si>
    <t>중국어과</t>
  </si>
  <si>
    <t>김태겸(2024##31)</t>
  </si>
  <si>
    <t>S20247231</t>
  </si>
  <si>
    <t>나연우(2025##82)</t>
  </si>
  <si>
    <t>S20252282</t>
  </si>
  <si>
    <t>리 위쉐안(2024##79)</t>
  </si>
  <si>
    <t>S20242979</t>
  </si>
  <si>
    <t>리웨이션(2023##12)</t>
  </si>
  <si>
    <t>S20233012</t>
  </si>
  <si>
    <t>민동혁(2024##84)</t>
  </si>
  <si>
    <t>S20242684</t>
  </si>
  <si>
    <t>박세훈(2022##55)</t>
  </si>
  <si>
    <t>S20222655</t>
  </si>
  <si>
    <t>박용민(2020##92)</t>
  </si>
  <si>
    <t>S20202592</t>
  </si>
  <si>
    <t>송명근(2020##54)</t>
  </si>
  <si>
    <t>S20204054</t>
  </si>
  <si>
    <t>전기공학과</t>
  </si>
  <si>
    <t>쉬 민후이(2024##78)</t>
  </si>
  <si>
    <t>S20242978</t>
  </si>
  <si>
    <t>쉬애티엔쥐(2022##73)</t>
  </si>
  <si>
    <t>S20222973</t>
  </si>
  <si>
    <t>신재훈(2022##99)</t>
  </si>
  <si>
    <t>S20222699</t>
  </si>
  <si>
    <t>안우민(2024##91)</t>
  </si>
  <si>
    <t>S20242691</t>
  </si>
  <si>
    <t>안치현(2022##60)</t>
  </si>
  <si>
    <t>S20222660</t>
  </si>
  <si>
    <t>양태진(2024##29)</t>
  </si>
  <si>
    <t>S20247229</t>
  </si>
  <si>
    <t>이재량(2021##44)</t>
  </si>
  <si>
    <t>S20212644</t>
  </si>
  <si>
    <t>이준범(2022##04)</t>
  </si>
  <si>
    <t>S20222704</t>
  </si>
  <si>
    <t>이채림(2023##89)</t>
  </si>
  <si>
    <t>S20232489</t>
  </si>
  <si>
    <t>영어영문학과</t>
  </si>
  <si>
    <t>이희우(2024##33)</t>
  </si>
  <si>
    <t>S20247233</t>
  </si>
  <si>
    <t>정민종(2022##74)</t>
  </si>
  <si>
    <t>S20222674</t>
  </si>
  <si>
    <t>정유정(2022##11)</t>
  </si>
  <si>
    <t>S20222511</t>
  </si>
  <si>
    <t>조우총(2023##64)</t>
  </si>
  <si>
    <t>S20232664</t>
  </si>
  <si>
    <t>주 쉰(2024##38)</t>
  </si>
  <si>
    <t>S20242738</t>
  </si>
  <si>
    <t>채주완(2021##51)</t>
  </si>
  <si>
    <t>S20212651</t>
  </si>
  <si>
    <t>천경현(2024##30)</t>
  </si>
  <si>
    <t>S20247230</t>
  </si>
  <si>
    <t>중간고사</t>
    <phoneticPr fontId="2" type="noConversion"/>
  </si>
  <si>
    <t>평균</t>
    <phoneticPr fontId="2" type="noConversion"/>
  </si>
  <si>
    <t>표준편차</t>
    <phoneticPr fontId="2" type="noConversion"/>
  </si>
  <si>
    <t>박용민</t>
    <phoneticPr fontId="2" type="noConversion"/>
  </si>
  <si>
    <t>이준범</t>
    <phoneticPr fontId="2" type="noConversion"/>
  </si>
  <si>
    <t>김나영</t>
    <phoneticPr fontId="2" type="noConversion"/>
  </si>
  <si>
    <t>그래프 조금 그린 사람들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</si>
</sst>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D9660BB-E087-48C2-92E7-9317C1C9223F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460374</xdr:colOff>
      <xdr:row>9</xdr:row>
      <xdr:rowOff>0</xdr:rowOff>
    </xdr:from>
    <xdr:to>
      <xdr:col>27</xdr:col>
      <xdr:colOff>6349</xdr:colOff>
      <xdr:row>32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A931BDA3-AFC3-BD3E-EE05-BC341CE0D2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4374" y="1689100"/>
              <a:ext cx="6861175" cy="432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F0F1-EA86-457B-9CE6-C5A8236118F0}">
  <dimension ref="A5:K35"/>
  <sheetViews>
    <sheetView workbookViewId="0">
      <selection activeCell="G42" sqref="G42"/>
    </sheetView>
  </sheetViews>
  <sheetFormatPr defaultRowHeight="14.5" x14ac:dyDescent="0.35"/>
  <sheetData>
    <row r="5" spans="1:11" ht="17" x14ac:dyDescent="0.45">
      <c r="A5" s="1" t="s">
        <v>0</v>
      </c>
      <c r="B5" s="1" t="s">
        <v>1</v>
      </c>
      <c r="C5" s="1" t="s">
        <v>2</v>
      </c>
      <c r="D5" s="1" t="s">
        <v>3</v>
      </c>
      <c r="E5" s="2" t="s">
        <v>74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35">
      <c r="A6">
        <v>9</v>
      </c>
      <c r="B6" t="s">
        <v>28</v>
      </c>
      <c r="C6" t="s">
        <v>29</v>
      </c>
      <c r="D6" t="s">
        <v>12</v>
      </c>
      <c r="E6">
        <v>20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24</v>
      </c>
      <c r="B7" t="s">
        <v>60</v>
      </c>
      <c r="C7" t="s">
        <v>61</v>
      </c>
      <c r="D7" t="s">
        <v>12</v>
      </c>
      <c r="E7">
        <v>23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6</v>
      </c>
      <c r="B8" t="s">
        <v>21</v>
      </c>
      <c r="C8" t="s">
        <v>22</v>
      </c>
      <c r="D8" t="s">
        <v>23</v>
      </c>
      <c r="E8">
        <v>24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10</v>
      </c>
      <c r="B9" t="s">
        <v>30</v>
      </c>
      <c r="C9" t="s">
        <v>31</v>
      </c>
      <c r="D9" t="s">
        <v>12</v>
      </c>
      <c r="E9">
        <v>25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5</v>
      </c>
      <c r="B10" t="s">
        <v>19</v>
      </c>
      <c r="C10" t="s">
        <v>20</v>
      </c>
      <c r="D10" t="s">
        <v>12</v>
      </c>
      <c r="E10">
        <v>26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8</v>
      </c>
      <c r="B11" t="s">
        <v>26</v>
      </c>
      <c r="C11" t="s">
        <v>27</v>
      </c>
      <c r="D11" t="s">
        <v>12</v>
      </c>
      <c r="E11">
        <v>26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15</v>
      </c>
      <c r="B12" t="s">
        <v>41</v>
      </c>
      <c r="C12" t="s">
        <v>42</v>
      </c>
      <c r="D12" t="s">
        <v>12</v>
      </c>
      <c r="E12">
        <v>28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28</v>
      </c>
      <c r="B13" t="s">
        <v>68</v>
      </c>
      <c r="C13" t="s">
        <v>69</v>
      </c>
      <c r="D13" t="s">
        <v>12</v>
      </c>
      <c r="E13">
        <v>28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7</v>
      </c>
      <c r="B14" t="s">
        <v>24</v>
      </c>
      <c r="C14" t="s">
        <v>25</v>
      </c>
      <c r="D14" t="s">
        <v>12</v>
      </c>
      <c r="E14">
        <v>28.5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30</v>
      </c>
      <c r="B15" t="s">
        <v>72</v>
      </c>
      <c r="C15" t="s">
        <v>73</v>
      </c>
      <c r="D15" t="s">
        <v>12</v>
      </c>
      <c r="E15">
        <v>30.5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</v>
      </c>
      <c r="B16" t="s">
        <v>17</v>
      </c>
      <c r="C16" t="s">
        <v>18</v>
      </c>
      <c r="D16" t="s">
        <v>12</v>
      </c>
      <c r="E16">
        <v>32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12</v>
      </c>
      <c r="B17" t="s">
        <v>34</v>
      </c>
      <c r="C17" t="s">
        <v>35</v>
      </c>
      <c r="D17" t="s">
        <v>12</v>
      </c>
      <c r="E17">
        <v>33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29</v>
      </c>
      <c r="B18" t="s">
        <v>70</v>
      </c>
      <c r="C18" t="s">
        <v>71</v>
      </c>
      <c r="D18" t="s">
        <v>12</v>
      </c>
      <c r="E18">
        <v>35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27</v>
      </c>
      <c r="B19" t="s">
        <v>66</v>
      </c>
      <c r="C19" t="s">
        <v>67</v>
      </c>
      <c r="D19" t="s">
        <v>12</v>
      </c>
      <c r="E19">
        <v>36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17</v>
      </c>
      <c r="B20" t="s">
        <v>45</v>
      </c>
      <c r="C20" t="s">
        <v>46</v>
      </c>
      <c r="D20" t="s">
        <v>12</v>
      </c>
      <c r="E20">
        <v>38.5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11</v>
      </c>
      <c r="B21" t="s">
        <v>32</v>
      </c>
      <c r="C21" t="s">
        <v>33</v>
      </c>
      <c r="D21" t="s">
        <v>12</v>
      </c>
      <c r="E21">
        <v>42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21</v>
      </c>
      <c r="B22" t="s">
        <v>53</v>
      </c>
      <c r="C22" t="s">
        <v>54</v>
      </c>
      <c r="D22" t="s">
        <v>12</v>
      </c>
      <c r="E22">
        <v>43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20</v>
      </c>
      <c r="B23" t="s">
        <v>51</v>
      </c>
      <c r="C23" t="s">
        <v>52</v>
      </c>
      <c r="D23" t="s">
        <v>12</v>
      </c>
      <c r="E23">
        <v>49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14</v>
      </c>
      <c r="B24" t="s">
        <v>38</v>
      </c>
      <c r="C24" t="s">
        <v>39</v>
      </c>
      <c r="D24" t="s">
        <v>40</v>
      </c>
      <c r="E24">
        <v>53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25</v>
      </c>
      <c r="B25" t="s">
        <v>62</v>
      </c>
      <c r="C25" t="s">
        <v>63</v>
      </c>
      <c r="D25" t="s">
        <v>12</v>
      </c>
      <c r="E25">
        <v>53.5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26</v>
      </c>
      <c r="B26" t="s">
        <v>64</v>
      </c>
      <c r="C26" t="s">
        <v>65</v>
      </c>
      <c r="D26" t="s">
        <v>59</v>
      </c>
      <c r="E26">
        <v>54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18</v>
      </c>
      <c r="B27" t="s">
        <v>47</v>
      </c>
      <c r="C27" t="s">
        <v>48</v>
      </c>
      <c r="D27" t="s">
        <v>12</v>
      </c>
      <c r="E27">
        <v>59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16</v>
      </c>
      <c r="B28" t="s">
        <v>43</v>
      </c>
      <c r="C28" t="s">
        <v>44</v>
      </c>
      <c r="D28" t="s">
        <v>12</v>
      </c>
      <c r="E28">
        <v>59.5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1</v>
      </c>
      <c r="B29" t="s">
        <v>10</v>
      </c>
      <c r="C29" t="s">
        <v>11</v>
      </c>
      <c r="D29" t="s">
        <v>12</v>
      </c>
      <c r="E29">
        <v>67.5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23</v>
      </c>
      <c r="B30" t="s">
        <v>57</v>
      </c>
      <c r="C30" t="s">
        <v>58</v>
      </c>
      <c r="D30" t="s">
        <v>59</v>
      </c>
      <c r="E30">
        <v>69.5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19</v>
      </c>
      <c r="B31" t="s">
        <v>49</v>
      </c>
      <c r="C31" t="s">
        <v>50</v>
      </c>
      <c r="D31" t="s">
        <v>12</v>
      </c>
      <c r="E31">
        <v>73.5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13</v>
      </c>
      <c r="B32" t="s">
        <v>36</v>
      </c>
      <c r="C32" t="s">
        <v>37</v>
      </c>
      <c r="D32" t="s">
        <v>12</v>
      </c>
      <c r="E32">
        <v>81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2</v>
      </c>
      <c r="B33" t="s">
        <v>13</v>
      </c>
      <c r="C33" t="s">
        <v>14</v>
      </c>
      <c r="D33" t="s">
        <v>12</v>
      </c>
      <c r="E33">
        <v>86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22</v>
      </c>
      <c r="B34" t="s">
        <v>55</v>
      </c>
      <c r="C34" t="s">
        <v>56</v>
      </c>
      <c r="D34" t="s">
        <v>12</v>
      </c>
      <c r="E34">
        <v>91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3</v>
      </c>
      <c r="B35" t="s">
        <v>15</v>
      </c>
      <c r="C35" t="s">
        <v>16</v>
      </c>
      <c r="D35" t="s">
        <v>12</v>
      </c>
      <c r="H35">
        <v>0</v>
      </c>
      <c r="I35">
        <v>0</v>
      </c>
      <c r="J35">
        <v>0</v>
      </c>
      <c r="K3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7"/>
  <sheetViews>
    <sheetView tabSelected="1" workbookViewId="0">
      <selection activeCell="Q5" sqref="Q5"/>
    </sheetView>
  </sheetViews>
  <sheetFormatPr defaultRowHeight="14.5" x14ac:dyDescent="0.35"/>
  <sheetData>
    <row r="2" spans="1:1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5" ht="17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O3" s="3" t="s">
        <v>80</v>
      </c>
    </row>
    <row r="4" spans="1:15" ht="17" x14ac:dyDescent="0.45">
      <c r="A4" s="1" t="s">
        <v>0</v>
      </c>
      <c r="B4" s="1" t="s">
        <v>1</v>
      </c>
      <c r="C4" s="1" t="s">
        <v>2</v>
      </c>
      <c r="D4" s="1" t="s">
        <v>3</v>
      </c>
      <c r="E4" s="2" t="s">
        <v>74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O4" s="3" t="s">
        <v>79</v>
      </c>
    </row>
    <row r="5" spans="1:15" ht="17" x14ac:dyDescent="0.45">
      <c r="A5">
        <v>9</v>
      </c>
      <c r="B5" t="s">
        <v>28</v>
      </c>
      <c r="C5" t="s">
        <v>29</v>
      </c>
      <c r="D5" t="s">
        <v>12</v>
      </c>
      <c r="E5">
        <v>20</v>
      </c>
      <c r="H5">
        <v>0</v>
      </c>
      <c r="I5">
        <v>0</v>
      </c>
      <c r="J5">
        <v>0</v>
      </c>
      <c r="K5">
        <v>0</v>
      </c>
      <c r="O5" s="3" t="s">
        <v>78</v>
      </c>
    </row>
    <row r="6" spans="1:15" ht="17" x14ac:dyDescent="0.45">
      <c r="A6">
        <v>24</v>
      </c>
      <c r="B6" t="s">
        <v>60</v>
      </c>
      <c r="C6" t="s">
        <v>61</v>
      </c>
      <c r="D6" t="s">
        <v>12</v>
      </c>
      <c r="E6">
        <v>23</v>
      </c>
      <c r="H6">
        <v>0</v>
      </c>
      <c r="I6">
        <v>0</v>
      </c>
      <c r="J6">
        <v>0</v>
      </c>
      <c r="K6">
        <v>0</v>
      </c>
      <c r="O6" s="3" t="s">
        <v>77</v>
      </c>
    </row>
    <row r="7" spans="1:15" x14ac:dyDescent="0.35">
      <c r="A7">
        <v>6</v>
      </c>
      <c r="B7" t="s">
        <v>21</v>
      </c>
      <c r="C7" t="s">
        <v>22</v>
      </c>
      <c r="D7" t="s">
        <v>23</v>
      </c>
      <c r="E7">
        <v>24</v>
      </c>
      <c r="H7">
        <v>0</v>
      </c>
      <c r="I7">
        <v>0</v>
      </c>
      <c r="J7">
        <v>0</v>
      </c>
      <c r="K7">
        <v>0</v>
      </c>
    </row>
    <row r="8" spans="1:15" x14ac:dyDescent="0.35">
      <c r="A8">
        <v>10</v>
      </c>
      <c r="B8" t="s">
        <v>30</v>
      </c>
      <c r="C8" t="s">
        <v>31</v>
      </c>
      <c r="D8" t="s">
        <v>12</v>
      </c>
      <c r="E8">
        <v>25</v>
      </c>
      <c r="H8">
        <v>0</v>
      </c>
      <c r="I8">
        <v>0</v>
      </c>
      <c r="J8">
        <v>0</v>
      </c>
      <c r="K8">
        <v>0</v>
      </c>
    </row>
    <row r="9" spans="1:15" x14ac:dyDescent="0.35">
      <c r="A9">
        <v>5</v>
      </c>
      <c r="B9" t="s">
        <v>19</v>
      </c>
      <c r="C9" t="s">
        <v>20</v>
      </c>
      <c r="D9" t="s">
        <v>12</v>
      </c>
      <c r="E9">
        <v>26</v>
      </c>
      <c r="H9">
        <v>0</v>
      </c>
      <c r="I9">
        <v>0</v>
      </c>
      <c r="J9">
        <v>0</v>
      </c>
      <c r="K9">
        <v>0</v>
      </c>
    </row>
    <row r="10" spans="1:15" x14ac:dyDescent="0.35">
      <c r="A10">
        <v>8</v>
      </c>
      <c r="B10" t="s">
        <v>26</v>
      </c>
      <c r="C10" t="s">
        <v>27</v>
      </c>
      <c r="D10" t="s">
        <v>12</v>
      </c>
      <c r="E10">
        <v>26</v>
      </c>
      <c r="H10">
        <v>0</v>
      </c>
      <c r="I10">
        <v>0</v>
      </c>
      <c r="J10">
        <v>0</v>
      </c>
      <c r="K10">
        <v>0</v>
      </c>
    </row>
    <row r="11" spans="1:15" x14ac:dyDescent="0.35">
      <c r="A11">
        <v>15</v>
      </c>
      <c r="B11" t="s">
        <v>41</v>
      </c>
      <c r="C11" t="s">
        <v>42</v>
      </c>
      <c r="D11" t="s">
        <v>12</v>
      </c>
      <c r="E11">
        <v>28</v>
      </c>
      <c r="H11">
        <v>0</v>
      </c>
      <c r="I11">
        <v>0</v>
      </c>
      <c r="J11">
        <v>0</v>
      </c>
      <c r="K11">
        <v>0</v>
      </c>
    </row>
    <row r="12" spans="1:15" x14ac:dyDescent="0.35">
      <c r="A12">
        <v>28</v>
      </c>
      <c r="B12" t="s">
        <v>68</v>
      </c>
      <c r="C12" t="s">
        <v>69</v>
      </c>
      <c r="D12" t="s">
        <v>12</v>
      </c>
      <c r="E12">
        <v>28</v>
      </c>
      <c r="H12">
        <v>0</v>
      </c>
      <c r="I12">
        <v>0</v>
      </c>
      <c r="J12">
        <v>0</v>
      </c>
      <c r="K12">
        <v>0</v>
      </c>
    </row>
    <row r="13" spans="1:15" x14ac:dyDescent="0.35">
      <c r="A13">
        <v>7</v>
      </c>
      <c r="B13" t="s">
        <v>24</v>
      </c>
      <c r="C13" t="s">
        <v>25</v>
      </c>
      <c r="D13" t="s">
        <v>12</v>
      </c>
      <c r="E13">
        <v>28.5</v>
      </c>
      <c r="H13">
        <v>0</v>
      </c>
      <c r="I13">
        <v>0</v>
      </c>
      <c r="J13">
        <v>0</v>
      </c>
      <c r="K13">
        <v>0</v>
      </c>
    </row>
    <row r="14" spans="1:15" x14ac:dyDescent="0.35">
      <c r="A14">
        <v>30</v>
      </c>
      <c r="B14" t="s">
        <v>72</v>
      </c>
      <c r="C14" t="s">
        <v>73</v>
      </c>
      <c r="D14" t="s">
        <v>12</v>
      </c>
      <c r="E14">
        <v>30.5</v>
      </c>
      <c r="H14">
        <v>0</v>
      </c>
      <c r="I14">
        <v>0</v>
      </c>
      <c r="J14">
        <v>0</v>
      </c>
      <c r="K14">
        <v>0</v>
      </c>
    </row>
    <row r="15" spans="1:15" x14ac:dyDescent="0.35">
      <c r="A15">
        <v>4</v>
      </c>
      <c r="B15" t="s">
        <v>17</v>
      </c>
      <c r="C15" t="s">
        <v>18</v>
      </c>
      <c r="D15" t="s">
        <v>12</v>
      </c>
      <c r="E15">
        <v>32</v>
      </c>
      <c r="H15">
        <v>0</v>
      </c>
      <c r="I15">
        <v>0</v>
      </c>
      <c r="J15">
        <v>0</v>
      </c>
      <c r="K15">
        <v>0</v>
      </c>
    </row>
    <row r="16" spans="1:15" x14ac:dyDescent="0.35">
      <c r="A16">
        <v>12</v>
      </c>
      <c r="B16" t="s">
        <v>34</v>
      </c>
      <c r="C16" t="s">
        <v>35</v>
      </c>
      <c r="D16" t="s">
        <v>12</v>
      </c>
      <c r="E16">
        <v>33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29</v>
      </c>
      <c r="B17" t="s">
        <v>70</v>
      </c>
      <c r="C17" t="s">
        <v>71</v>
      </c>
      <c r="D17" t="s">
        <v>12</v>
      </c>
      <c r="E17">
        <v>35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27</v>
      </c>
      <c r="B18" t="s">
        <v>66</v>
      </c>
      <c r="C18" t="s">
        <v>67</v>
      </c>
      <c r="D18" t="s">
        <v>12</v>
      </c>
      <c r="E18">
        <v>36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17</v>
      </c>
      <c r="B19" t="s">
        <v>45</v>
      </c>
      <c r="C19" t="s">
        <v>46</v>
      </c>
      <c r="D19" t="s">
        <v>12</v>
      </c>
      <c r="E19">
        <v>38.5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11</v>
      </c>
      <c r="B20" t="s">
        <v>32</v>
      </c>
      <c r="C20" t="s">
        <v>33</v>
      </c>
      <c r="D20" t="s">
        <v>12</v>
      </c>
      <c r="E20">
        <v>42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21</v>
      </c>
      <c r="B21" t="s">
        <v>53</v>
      </c>
      <c r="C21" t="s">
        <v>54</v>
      </c>
      <c r="D21" t="s">
        <v>12</v>
      </c>
      <c r="E21">
        <v>43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20</v>
      </c>
      <c r="B22" t="s">
        <v>51</v>
      </c>
      <c r="C22" t="s">
        <v>52</v>
      </c>
      <c r="D22" t="s">
        <v>12</v>
      </c>
      <c r="E22">
        <v>49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14</v>
      </c>
      <c r="B23" t="s">
        <v>38</v>
      </c>
      <c r="C23" t="s">
        <v>39</v>
      </c>
      <c r="D23" t="s">
        <v>40</v>
      </c>
      <c r="E23">
        <v>53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25</v>
      </c>
      <c r="B24" t="s">
        <v>62</v>
      </c>
      <c r="C24" t="s">
        <v>63</v>
      </c>
      <c r="D24" t="s">
        <v>12</v>
      </c>
      <c r="E24">
        <v>53.5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26</v>
      </c>
      <c r="B25" t="s">
        <v>64</v>
      </c>
      <c r="C25" t="s">
        <v>65</v>
      </c>
      <c r="D25" t="s">
        <v>59</v>
      </c>
      <c r="E25">
        <v>54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18</v>
      </c>
      <c r="B26" t="s">
        <v>47</v>
      </c>
      <c r="C26" t="s">
        <v>48</v>
      </c>
      <c r="D26" t="s">
        <v>12</v>
      </c>
      <c r="E26">
        <v>59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16</v>
      </c>
      <c r="B27" t="s">
        <v>43</v>
      </c>
      <c r="C27" t="s">
        <v>44</v>
      </c>
      <c r="D27" t="s">
        <v>12</v>
      </c>
      <c r="E27">
        <v>59.5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1</v>
      </c>
      <c r="B28" t="s">
        <v>10</v>
      </c>
      <c r="C28" t="s">
        <v>11</v>
      </c>
      <c r="D28" t="s">
        <v>12</v>
      </c>
      <c r="E28">
        <v>67.5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23</v>
      </c>
      <c r="B29" t="s">
        <v>57</v>
      </c>
      <c r="C29" t="s">
        <v>58</v>
      </c>
      <c r="D29" t="s">
        <v>59</v>
      </c>
      <c r="E29">
        <v>69.5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19</v>
      </c>
      <c r="B30" t="s">
        <v>49</v>
      </c>
      <c r="C30" t="s">
        <v>50</v>
      </c>
      <c r="D30" t="s">
        <v>12</v>
      </c>
      <c r="E30">
        <v>73.5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13</v>
      </c>
      <c r="B31" t="s">
        <v>36</v>
      </c>
      <c r="C31" t="s">
        <v>37</v>
      </c>
      <c r="D31" t="s">
        <v>12</v>
      </c>
      <c r="E31">
        <v>81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2</v>
      </c>
      <c r="B32" t="s">
        <v>13</v>
      </c>
      <c r="C32" t="s">
        <v>14</v>
      </c>
      <c r="D32" t="s">
        <v>12</v>
      </c>
      <c r="E32">
        <v>86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22</v>
      </c>
      <c r="B33" t="s">
        <v>55</v>
      </c>
      <c r="C33" t="s">
        <v>56</v>
      </c>
      <c r="D33" t="s">
        <v>12</v>
      </c>
      <c r="E33">
        <v>91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3</v>
      </c>
      <c r="B34" t="s">
        <v>15</v>
      </c>
      <c r="C34" t="s">
        <v>16</v>
      </c>
      <c r="D34" t="s">
        <v>12</v>
      </c>
      <c r="H34">
        <v>0</v>
      </c>
      <c r="I34">
        <v>0</v>
      </c>
      <c r="J34">
        <v>0</v>
      </c>
      <c r="K34">
        <v>0</v>
      </c>
    </row>
    <row r="36" spans="1:11" ht="17" x14ac:dyDescent="0.45">
      <c r="E36" s="3" t="s">
        <v>75</v>
      </c>
      <c r="F36">
        <f>AVERAGE(E5:E33)</f>
        <v>45.344827586206897</v>
      </c>
    </row>
    <row r="37" spans="1:11" ht="17" x14ac:dyDescent="0.45">
      <c r="E37" s="3" t="s">
        <v>76</v>
      </c>
      <c r="F37">
        <f>STDEV(E5:E33)</f>
        <v>20.641109919750239</v>
      </c>
    </row>
  </sheetData>
  <sheetProtection formatCells="0" formatColumns="0" formatRows="0" insertColumns="0" insertRows="0" insertHyperlinks="0" deleteColumns="0" deleteRows="0" sort="0" autoFilter="0" pivotTables="0"/>
  <autoFilter ref="A4:K4" xr:uid="{00000000-0001-0000-0000-000000000000}">
    <sortState xmlns:xlrd2="http://schemas.microsoft.com/office/spreadsheetml/2017/richdata2" ref="A5:K34">
      <sortCondition ref="E4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중간고사 원본</vt:lpstr>
      <vt:lpstr>중간고사 통계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Seungho Jeon</cp:lastModifiedBy>
  <dcterms:created xsi:type="dcterms:W3CDTF">2026-05-04T03:12:26Z</dcterms:created>
  <dcterms:modified xsi:type="dcterms:W3CDTF">2026-05-06T00:58:15Z</dcterms:modified>
  <cp:category/>
</cp:coreProperties>
</file>