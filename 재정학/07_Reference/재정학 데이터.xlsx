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SKTOP\Desktop\Teaching\재정학\07_Reference\"/>
    </mc:Choice>
  </mc:AlternateContent>
  <xr:revisionPtr revIDLastSave="0" documentId="13_ncr:1_{A982495B-9A3A-475E-9E01-4486A728410F}" xr6:coauthVersionLast="47" xr6:coauthVersionMax="47" xr10:uidLastSave="{00000000-0000-0000-0000-000000000000}"/>
  <bookViews>
    <workbookView xWindow="-110" yWindow="-110" windowWidth="38620" windowHeight="21100" xr2:uid="{F71892C6-1444-47C4-A64C-0935CCB8F15B}"/>
  </bookViews>
  <sheets>
    <sheet name="재정규모" sheetId="3" r:id="rId1"/>
    <sheet name="국세수입" sheetId="1" r:id="rId2"/>
    <sheet name="세외수입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3" l="1"/>
  <c r="D24" i="3"/>
  <c r="E24" i="3"/>
  <c r="F24" i="3"/>
  <c r="G24" i="3"/>
  <c r="H24" i="3"/>
  <c r="I24" i="3"/>
  <c r="J24" i="3"/>
  <c r="K24" i="3"/>
  <c r="L24" i="3"/>
  <c r="D25" i="3"/>
  <c r="E25" i="3"/>
  <c r="F25" i="3"/>
  <c r="G25" i="3"/>
  <c r="H25" i="3"/>
  <c r="I25" i="3"/>
  <c r="J25" i="3"/>
  <c r="K25" i="3"/>
  <c r="L25" i="3"/>
  <c r="D26" i="3"/>
  <c r="E26" i="3"/>
  <c r="F26" i="3"/>
  <c r="G26" i="3"/>
  <c r="H26" i="3"/>
  <c r="I26" i="3"/>
  <c r="J26" i="3"/>
  <c r="K26" i="3"/>
  <c r="L26" i="3"/>
  <c r="D27" i="3"/>
  <c r="E27" i="3"/>
  <c r="F27" i="3"/>
  <c r="G27" i="3"/>
  <c r="H27" i="3"/>
  <c r="I27" i="3"/>
  <c r="J27" i="3"/>
  <c r="K27" i="3"/>
  <c r="L27" i="3"/>
  <c r="D29" i="3"/>
  <c r="E29" i="3"/>
  <c r="F29" i="3"/>
  <c r="G29" i="3"/>
  <c r="H29" i="3"/>
  <c r="I29" i="3"/>
  <c r="J29" i="3"/>
  <c r="K29" i="3"/>
  <c r="L29" i="3"/>
  <c r="C25" i="3"/>
  <c r="C27" i="3"/>
  <c r="C26" i="3"/>
  <c r="C24" i="3"/>
  <c r="Q7" i="1"/>
  <c r="R7" i="1"/>
  <c r="S7" i="1"/>
  <c r="T7" i="1"/>
  <c r="U7" i="1"/>
  <c r="V7" i="1"/>
  <c r="W7" i="1"/>
  <c r="X7" i="1"/>
  <c r="Y7" i="1"/>
  <c r="P7" i="1"/>
  <c r="Q6" i="1"/>
  <c r="R6" i="1"/>
  <c r="R8" i="1" s="1"/>
  <c r="S6" i="1"/>
  <c r="T6" i="1"/>
  <c r="U6" i="1"/>
  <c r="V6" i="1"/>
  <c r="W6" i="1"/>
  <c r="X6" i="1"/>
  <c r="Q5" i="1"/>
  <c r="R5" i="1"/>
  <c r="S5" i="1"/>
  <c r="T5" i="1"/>
  <c r="U5" i="1"/>
  <c r="V5" i="1"/>
  <c r="W5" i="1"/>
  <c r="X5" i="1"/>
  <c r="Y5" i="1"/>
  <c r="P5" i="1"/>
  <c r="Q4" i="1"/>
  <c r="R4" i="1"/>
  <c r="S4" i="1"/>
  <c r="T4" i="1"/>
  <c r="U4" i="1"/>
  <c r="V4" i="1"/>
  <c r="W4" i="1"/>
  <c r="X4" i="1"/>
  <c r="Y4" i="1"/>
  <c r="Y6" i="1" s="1"/>
  <c r="P4" i="1"/>
  <c r="P6" i="1" s="1"/>
  <c r="K28" i="3" l="1"/>
  <c r="C28" i="3"/>
  <c r="E28" i="3"/>
  <c r="L28" i="3"/>
  <c r="J28" i="3"/>
  <c r="I28" i="3"/>
  <c r="H28" i="3"/>
  <c r="G28" i="3"/>
  <c r="F28" i="3"/>
  <c r="D28" i="3"/>
  <c r="T12" i="1"/>
  <c r="R10" i="1"/>
  <c r="R14" i="1"/>
  <c r="R11" i="1"/>
  <c r="P8" i="1"/>
  <c r="Y8" i="1"/>
  <c r="U13" i="1"/>
  <c r="T13" i="1"/>
  <c r="S13" i="1"/>
  <c r="R13" i="1"/>
  <c r="Q13" i="1"/>
  <c r="Y11" i="1"/>
  <c r="U12" i="1"/>
  <c r="R12" i="1"/>
  <c r="X8" i="1"/>
  <c r="W8" i="1"/>
  <c r="W11" i="1" s="1"/>
  <c r="V8" i="1"/>
  <c r="U8" i="1"/>
  <c r="T8" i="1"/>
  <c r="S8" i="1"/>
  <c r="Q8" i="1"/>
  <c r="V10" i="1" l="1"/>
  <c r="V14" i="1"/>
  <c r="X10" i="1"/>
  <c r="X14" i="1"/>
  <c r="W12" i="1"/>
  <c r="Y10" i="1"/>
  <c r="Y14" i="1"/>
  <c r="W10" i="1"/>
  <c r="W14" i="1"/>
  <c r="V12" i="1"/>
  <c r="X12" i="1"/>
  <c r="V11" i="1"/>
  <c r="X11" i="1"/>
  <c r="Y12" i="1"/>
  <c r="V13" i="1"/>
  <c r="P14" i="1"/>
  <c r="P11" i="1"/>
  <c r="P12" i="1"/>
  <c r="W13" i="1"/>
  <c r="X13" i="1"/>
  <c r="Y13" i="1"/>
  <c r="P13" i="1"/>
  <c r="P10" i="1"/>
  <c r="Q10" i="1"/>
  <c r="Q14" i="1"/>
  <c r="Q11" i="1"/>
  <c r="S10" i="1"/>
  <c r="S14" i="1"/>
  <c r="S11" i="1"/>
  <c r="T10" i="1"/>
  <c r="T14" i="1"/>
  <c r="T11" i="1"/>
  <c r="S12" i="1"/>
  <c r="U10" i="1"/>
  <c r="U14" i="1"/>
  <c r="U11" i="1"/>
  <c r="Q12" i="1"/>
</calcChain>
</file>

<file path=xl/sharedStrings.xml><?xml version="1.0" encoding="utf-8"?>
<sst xmlns="http://schemas.openxmlformats.org/spreadsheetml/2006/main" count="181" uniqueCount="154">
  <si>
    <t>내국세</t>
    <phoneticPr fontId="2" type="noConversion"/>
  </si>
  <si>
    <t>관세</t>
    <phoneticPr fontId="2" type="noConversion"/>
  </si>
  <si>
    <t>구분</t>
  </si>
  <si>
    <t>Classification</t>
  </si>
  <si>
    <t>합계</t>
  </si>
  <si>
    <t>Tax Total</t>
  </si>
  <si>
    <t>Internal Taxes</t>
  </si>
  <si>
    <t>Direct Taxes</t>
  </si>
  <si>
    <t>Income Taxes</t>
  </si>
  <si>
    <t>Corporation Tax</t>
  </si>
  <si>
    <t>Inheritance Tax</t>
  </si>
  <si>
    <t>Asset Revaluation Tax</t>
  </si>
  <si>
    <t>Excess Profit Tax</t>
  </si>
  <si>
    <t>Excess Increased Value of Land Tax</t>
  </si>
  <si>
    <t>Indirect Taxes</t>
  </si>
  <si>
    <t>Value Added Tax</t>
  </si>
  <si>
    <t>Special Consumption Tax</t>
  </si>
  <si>
    <t>Liquor Tax</t>
  </si>
  <si>
    <t>Security Transaction Tax</t>
  </si>
  <si>
    <t>Telephone Tax</t>
  </si>
  <si>
    <t>Carry-Over from Previous Year</t>
  </si>
  <si>
    <t>Stamp Tax</t>
  </si>
  <si>
    <t>Customs Duties</t>
  </si>
  <si>
    <t>Defense Tax</t>
  </si>
  <si>
    <t>On Customs Duties</t>
  </si>
  <si>
    <t>On Local Taxes</t>
  </si>
  <si>
    <t>Other Defense Tax Previous Year</t>
  </si>
  <si>
    <t>Transportation-Energy-Environment Tax</t>
  </si>
  <si>
    <t>Other Transportation-Energy-Environment Tax</t>
  </si>
  <si>
    <t>Other Transport Tax</t>
  </si>
  <si>
    <t>Educational Tax</t>
  </si>
  <si>
    <t>Other Educational Tax</t>
  </si>
  <si>
    <t>Comprehensive Real Estate Tax</t>
  </si>
  <si>
    <t>Total</t>
  </si>
  <si>
    <t>Revenues from Gov't Owned Properties</t>
  </si>
  <si>
    <t>Rents from Land &amp; Buildings</t>
  </si>
  <si>
    <t>Dividends &amp; Profits</t>
  </si>
  <si>
    <t>Interest</t>
  </si>
  <si>
    <t>Others</t>
  </si>
  <si>
    <t>Current Transfer</t>
  </si>
  <si>
    <t>Contribution of Pension</t>
  </si>
  <si>
    <t>Fine &amp; Confiscation</t>
  </si>
  <si>
    <t>Indemnities &amp; Penalties</t>
  </si>
  <si>
    <t>Penalties to Delinquency</t>
  </si>
  <si>
    <t>Sales of Goods &amp; Services</t>
  </si>
  <si>
    <t>Rents</t>
  </si>
  <si>
    <t>Hospital Income</t>
  </si>
  <si>
    <t>Admission Fee</t>
  </si>
  <si>
    <t>License &amp; Commission Fee</t>
  </si>
  <si>
    <t>School Entrance &amp; Tuition Fee</t>
  </si>
  <si>
    <t>Revenues from Airport Harbors &amp; Water</t>
  </si>
  <si>
    <t>Revenues from School Experiment</t>
  </si>
  <si>
    <t>Receipts Tied to Expenses</t>
  </si>
  <si>
    <t>Sales Proceeds of Gov't Owned Properties</t>
  </si>
  <si>
    <t>Collection of Loan Principal</t>
  </si>
  <si>
    <t>National Bond &amp; Borrowing</t>
  </si>
  <si>
    <t>Foreign Borrowing</t>
  </si>
  <si>
    <t>Carry Over from Prev. Year</t>
  </si>
  <si>
    <t>Transfer Trust &amp; Collection from Other A/C</t>
  </si>
  <si>
    <t>가. 재산수입</t>
  </si>
  <si>
    <t>(1) 토지및건물대여료</t>
  </si>
  <si>
    <t>(2) 정부출자수입</t>
  </si>
  <si>
    <t>(3) 이자수입</t>
  </si>
  <si>
    <t>(4) 기타재산수입</t>
  </si>
  <si>
    <t>나. 경상이전수입</t>
  </si>
  <si>
    <t>(1) 연금수입</t>
  </si>
  <si>
    <t>(2) 벌금및몰수금</t>
  </si>
  <si>
    <t>(3) 변상금및위약금</t>
  </si>
  <si>
    <t>(4) 가산금</t>
  </si>
  <si>
    <t>(5) 기타경상이전수입</t>
  </si>
  <si>
    <t>다. 재화및용역판매수입</t>
  </si>
  <si>
    <t>(1) 관유물대여료</t>
  </si>
  <si>
    <t>(2) 병원수입</t>
  </si>
  <si>
    <t>(3) 입장료수입</t>
  </si>
  <si>
    <t>(4) 면허료및수수료</t>
  </si>
  <si>
    <t>(5) 입학금및수업료</t>
  </si>
  <si>
    <t>(6) 공항항만및용수수입</t>
  </si>
  <si>
    <t>(7) 실습수입</t>
  </si>
  <si>
    <t>(8) 기타잡수입</t>
  </si>
  <si>
    <t>(9) 벌금및몰수금</t>
  </si>
  <si>
    <t>라. 수입대체경비</t>
  </si>
  <si>
    <t>마. 관유물매각대</t>
  </si>
  <si>
    <t>바. 융자원금회수금</t>
  </si>
  <si>
    <t>사. 국공채및차입금</t>
  </si>
  <si>
    <t>아. 차관수입</t>
  </si>
  <si>
    <t>자. 전년도이월금</t>
  </si>
  <si>
    <t>차. 전입금및기타</t>
  </si>
  <si>
    <t>가. 내국세</t>
  </si>
  <si>
    <t>(1) 직접세</t>
  </si>
  <si>
    <t>① 소득세</t>
  </si>
  <si>
    <t>② 법인세</t>
  </si>
  <si>
    <t>③ 상속세</t>
  </si>
  <si>
    <t>④ 자산재평가세</t>
  </si>
  <si>
    <t>⑤ 부당이득세</t>
  </si>
  <si>
    <t>⑥ 토지초과이득세</t>
  </si>
  <si>
    <t>(2) 간접세</t>
  </si>
  <si>
    <t>⑦ 부가가치세</t>
  </si>
  <si>
    <t>⑧ 특별소비세</t>
  </si>
  <si>
    <t>⑨ 주세</t>
  </si>
  <si>
    <t>⑩ 증권거래세</t>
  </si>
  <si>
    <t>⑪ 전화세</t>
  </si>
  <si>
    <t>(3) 과년도수입</t>
  </si>
  <si>
    <t>(4) 인지세</t>
  </si>
  <si>
    <t>나. 관세</t>
  </si>
  <si>
    <t>(1) 관세</t>
  </si>
  <si>
    <t>(2) 기타관세</t>
  </si>
  <si>
    <t>다. 방위세</t>
  </si>
  <si>
    <t>(1) 방위세</t>
  </si>
  <si>
    <t>(2) 관세분</t>
  </si>
  <si>
    <t>(3) 지방세분</t>
  </si>
  <si>
    <t>(4) 기타방위세</t>
  </si>
  <si>
    <t>라. 교통·에너지·환경세</t>
  </si>
  <si>
    <t>(1) 교통·에너지·환경세</t>
  </si>
  <si>
    <t>(2) 기타교통·에너지·환경세</t>
  </si>
  <si>
    <t>(3) 기타교통세</t>
  </si>
  <si>
    <t>마. 교육세</t>
    <phoneticPr fontId="2" type="noConversion"/>
  </si>
  <si>
    <t>(1) 교육세</t>
    <phoneticPr fontId="2" type="noConversion"/>
  </si>
  <si>
    <t>(2) 기타교육세</t>
    <phoneticPr fontId="2" type="noConversion"/>
  </si>
  <si>
    <t>바. 종합부동산세</t>
    <phoneticPr fontId="2" type="noConversion"/>
  </si>
  <si>
    <t>(1) 종합부동산세</t>
    <phoneticPr fontId="2" type="noConversion"/>
  </si>
  <si>
    <t>PPT</t>
    <phoneticPr fontId="2" type="noConversion"/>
  </si>
  <si>
    <t>총계</t>
    <phoneticPr fontId="2" type="noConversion"/>
  </si>
  <si>
    <t>세외수입</t>
    <phoneticPr fontId="2" type="noConversion"/>
  </si>
  <si>
    <t>공공부문(1+2)</t>
  </si>
  <si>
    <t>Public Sector</t>
  </si>
  <si>
    <t>1. 중앙정부</t>
  </si>
  <si>
    <t>Central Gov't</t>
  </si>
  <si>
    <t>일반회계</t>
  </si>
  <si>
    <t>General Account</t>
  </si>
  <si>
    <t>특별회계</t>
  </si>
  <si>
    <t>Special Account</t>
  </si>
  <si>
    <t>기금</t>
  </si>
  <si>
    <t>Gov't Fund</t>
  </si>
  <si>
    <t>세입세출외</t>
  </si>
  <si>
    <t>Extra-Budget</t>
  </si>
  <si>
    <t>2. 비금융공기업</t>
  </si>
  <si>
    <t>NFPEs</t>
  </si>
  <si>
    <t>기업회계</t>
  </si>
  <si>
    <t>Gov't Enterprise</t>
  </si>
  <si>
    <t>GDP</t>
  </si>
  <si>
    <t>국내총생산에 대한 비율</t>
  </si>
  <si>
    <t>Ratio to GDP</t>
  </si>
  <si>
    <t>공공부문</t>
  </si>
  <si>
    <t>중앙정부</t>
  </si>
  <si>
    <t>국내총생산(명목GDP, 억원)</t>
    <phoneticPr fontId="2" type="noConversion"/>
  </si>
  <si>
    <t>예산</t>
    <phoneticPr fontId="2" type="noConversion"/>
  </si>
  <si>
    <t>일반회계</t>
    <phoneticPr fontId="2" type="noConversion"/>
  </si>
  <si>
    <t>특별회계</t>
    <phoneticPr fontId="2" type="noConversion"/>
  </si>
  <si>
    <t>기금</t>
    <phoneticPr fontId="2" type="noConversion"/>
  </si>
  <si>
    <t>세입세출 외</t>
    <phoneticPr fontId="2" type="noConversion"/>
  </si>
  <si>
    <t>합계</t>
    <phoneticPr fontId="2" type="noConversion"/>
  </si>
  <si>
    <t>GDP대비재정규모</t>
    <phoneticPr fontId="2" type="noConversion"/>
  </si>
  <si>
    <t>출처: 2024회계연도 결산개요 (통계편), 기획재정부</t>
    <phoneticPr fontId="2" type="noConversion"/>
  </si>
  <si>
    <t>연차별 통합재정규모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</si>
</sst>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%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2" borderId="0" xfId="0" applyFill="1">
      <alignment vertical="center"/>
    </xf>
    <xf numFmtId="177" fontId="0" fillId="0" borderId="0" xfId="1" applyNumberFormat="1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 indent="2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24C9F-62EA-427F-979F-968137B35ED7}">
  <dimension ref="A1:N29"/>
  <sheetViews>
    <sheetView tabSelected="1" workbookViewId="0">
      <selection activeCell="T10" sqref="T10"/>
    </sheetView>
  </sheetViews>
  <sheetFormatPr defaultRowHeight="17" x14ac:dyDescent="0.45"/>
  <cols>
    <col min="1" max="1" width="47.33203125" bestFit="1" customWidth="1"/>
    <col min="2" max="2" width="15.33203125" bestFit="1" customWidth="1"/>
    <col min="3" max="14" width="10.1640625" bestFit="1" customWidth="1"/>
  </cols>
  <sheetData>
    <row r="1" spans="1:14" x14ac:dyDescent="0.45">
      <c r="A1" t="s">
        <v>152</v>
      </c>
    </row>
    <row r="2" spans="1:14" x14ac:dyDescent="0.45">
      <c r="A2" t="s">
        <v>153</v>
      </c>
    </row>
    <row r="3" spans="1:14" x14ac:dyDescent="0.45">
      <c r="A3" t="s">
        <v>2</v>
      </c>
      <c r="B3" t="s">
        <v>3</v>
      </c>
      <c r="C3">
        <v>2013</v>
      </c>
      <c r="D3">
        <v>2014</v>
      </c>
      <c r="E3">
        <v>2015</v>
      </c>
      <c r="F3">
        <v>2016</v>
      </c>
      <c r="G3">
        <v>2017</v>
      </c>
      <c r="H3">
        <v>2018</v>
      </c>
      <c r="I3">
        <v>2019</v>
      </c>
      <c r="J3">
        <v>2020</v>
      </c>
      <c r="K3">
        <v>2021</v>
      </c>
      <c r="L3">
        <v>2022</v>
      </c>
      <c r="M3">
        <v>2023</v>
      </c>
      <c r="N3">
        <v>2024</v>
      </c>
    </row>
    <row r="4" spans="1:14" x14ac:dyDescent="0.45">
      <c r="A4" t="s">
        <v>123</v>
      </c>
      <c r="B4" t="s">
        <v>124</v>
      </c>
      <c r="C4">
        <v>300237564</v>
      </c>
      <c r="D4">
        <v>312394133</v>
      </c>
      <c r="E4">
        <v>339351017</v>
      </c>
      <c r="F4">
        <v>354353560</v>
      </c>
      <c r="G4">
        <v>379809244</v>
      </c>
      <c r="H4">
        <v>407098761</v>
      </c>
      <c r="I4">
        <v>455849573</v>
      </c>
      <c r="J4">
        <v>517781119</v>
      </c>
      <c r="K4">
        <v>568112758</v>
      </c>
      <c r="L4">
        <v>652902345</v>
      </c>
      <c r="M4">
        <v>580354414</v>
      </c>
      <c r="N4">
        <v>603608529</v>
      </c>
    </row>
    <row r="5" spans="1:14" x14ac:dyDescent="0.45">
      <c r="A5" s="5" t="s">
        <v>125</v>
      </c>
      <c r="B5" t="s">
        <v>126</v>
      </c>
      <c r="C5">
        <v>296556584</v>
      </c>
      <c r="D5">
        <v>308980270</v>
      </c>
      <c r="E5">
        <v>336244037</v>
      </c>
      <c r="F5">
        <v>351546478</v>
      </c>
      <c r="G5">
        <v>376852563</v>
      </c>
      <c r="H5">
        <v>404491997</v>
      </c>
      <c r="I5">
        <v>452093975</v>
      </c>
      <c r="J5">
        <v>513462818</v>
      </c>
      <c r="K5">
        <v>565035470</v>
      </c>
      <c r="L5">
        <v>648857760</v>
      </c>
      <c r="M5">
        <v>575274127</v>
      </c>
      <c r="N5">
        <v>597525941</v>
      </c>
    </row>
    <row r="6" spans="1:14" x14ac:dyDescent="0.45">
      <c r="A6" s="6" t="s">
        <v>127</v>
      </c>
      <c r="B6" t="s">
        <v>128</v>
      </c>
      <c r="C6">
        <v>191630847</v>
      </c>
      <c r="D6">
        <v>197379297</v>
      </c>
      <c r="E6">
        <v>205967651</v>
      </c>
      <c r="F6">
        <v>216929584</v>
      </c>
      <c r="G6">
        <v>225520099</v>
      </c>
      <c r="H6">
        <v>246425117</v>
      </c>
      <c r="I6">
        <v>277654704</v>
      </c>
      <c r="J6">
        <v>320760411</v>
      </c>
      <c r="K6">
        <v>339739951</v>
      </c>
      <c r="L6">
        <v>379872493</v>
      </c>
      <c r="M6">
        <v>343496722</v>
      </c>
      <c r="N6">
        <v>344518516</v>
      </c>
    </row>
    <row r="7" spans="1:14" x14ac:dyDescent="0.45">
      <c r="A7" s="6" t="s">
        <v>129</v>
      </c>
      <c r="B7" t="s">
        <v>130</v>
      </c>
      <c r="C7">
        <v>36652457</v>
      </c>
      <c r="D7">
        <v>36282746</v>
      </c>
      <c r="E7">
        <v>42043818</v>
      </c>
      <c r="F7">
        <v>39414738</v>
      </c>
      <c r="G7">
        <v>41542314</v>
      </c>
      <c r="H7">
        <v>39057169</v>
      </c>
      <c r="I7">
        <v>42324675</v>
      </c>
      <c r="J7">
        <v>44424545</v>
      </c>
      <c r="K7">
        <v>50221728</v>
      </c>
      <c r="L7">
        <v>50564453</v>
      </c>
      <c r="M7">
        <v>59552482</v>
      </c>
      <c r="N7">
        <v>67364188</v>
      </c>
    </row>
    <row r="8" spans="1:14" x14ac:dyDescent="0.45">
      <c r="A8" s="6" t="s">
        <v>131</v>
      </c>
      <c r="B8" t="s">
        <v>132</v>
      </c>
      <c r="C8">
        <v>67938582</v>
      </c>
      <c r="D8">
        <v>75137509</v>
      </c>
      <c r="E8">
        <v>88042483</v>
      </c>
      <c r="F8">
        <v>94932880</v>
      </c>
      <c r="G8">
        <v>105753891</v>
      </c>
      <c r="H8">
        <v>112407351</v>
      </c>
      <c r="I8">
        <v>120955624</v>
      </c>
      <c r="J8">
        <v>147879359</v>
      </c>
      <c r="K8">
        <v>172510077</v>
      </c>
      <c r="L8">
        <v>206816084</v>
      </c>
      <c r="M8">
        <v>171197594</v>
      </c>
      <c r="N8">
        <v>185223570</v>
      </c>
    </row>
    <row r="9" spans="1:14" x14ac:dyDescent="0.45">
      <c r="A9" s="6" t="s">
        <v>133</v>
      </c>
      <c r="B9" t="s">
        <v>134</v>
      </c>
      <c r="C9">
        <v>334699</v>
      </c>
      <c r="D9">
        <v>180718</v>
      </c>
      <c r="E9">
        <v>190085</v>
      </c>
      <c r="F9">
        <v>269276</v>
      </c>
      <c r="G9">
        <v>4036259</v>
      </c>
      <c r="H9">
        <v>6602361</v>
      </c>
      <c r="I9">
        <v>11158971</v>
      </c>
      <c r="J9">
        <v>398504</v>
      </c>
      <c r="K9">
        <v>2563714</v>
      </c>
      <c r="L9">
        <v>11604731</v>
      </c>
      <c r="M9">
        <v>1027328</v>
      </c>
      <c r="N9">
        <v>419667</v>
      </c>
    </row>
    <row r="10" spans="1:14" x14ac:dyDescent="0.45">
      <c r="A10" s="5" t="s">
        <v>135</v>
      </c>
      <c r="B10" t="s">
        <v>136</v>
      </c>
      <c r="C10">
        <v>3680980</v>
      </c>
      <c r="D10">
        <v>3413863</v>
      </c>
      <c r="E10">
        <v>3106980</v>
      </c>
      <c r="F10">
        <v>2807082</v>
      </c>
      <c r="G10">
        <v>2956681</v>
      </c>
      <c r="H10">
        <v>2606764</v>
      </c>
      <c r="I10">
        <v>3755598</v>
      </c>
      <c r="J10">
        <v>4318300</v>
      </c>
      <c r="K10">
        <v>3077288</v>
      </c>
      <c r="L10">
        <v>4044584</v>
      </c>
      <c r="M10">
        <v>5080287</v>
      </c>
      <c r="N10">
        <v>6082588</v>
      </c>
    </row>
    <row r="11" spans="1:14" x14ac:dyDescent="0.45">
      <c r="A11" s="6" t="s">
        <v>137</v>
      </c>
      <c r="B11" t="s">
        <v>138</v>
      </c>
      <c r="C11">
        <v>3680980</v>
      </c>
      <c r="D11">
        <v>3413863</v>
      </c>
      <c r="E11">
        <v>3106980</v>
      </c>
      <c r="F11">
        <v>2807082</v>
      </c>
      <c r="G11">
        <v>2956681</v>
      </c>
      <c r="H11">
        <v>2606764</v>
      </c>
      <c r="I11">
        <v>3755598</v>
      </c>
      <c r="J11">
        <v>4318300</v>
      </c>
      <c r="K11">
        <v>3077288</v>
      </c>
      <c r="L11">
        <v>4044584</v>
      </c>
      <c r="M11">
        <v>5080287</v>
      </c>
      <c r="N11">
        <v>6082588</v>
      </c>
    </row>
    <row r="12" spans="1:14" x14ac:dyDescent="0.45">
      <c r="A12" s="6" t="s">
        <v>131</v>
      </c>
      <c r="B12" t="s">
        <v>132</v>
      </c>
    </row>
    <row r="13" spans="1:14" x14ac:dyDescent="0.45">
      <c r="A13" t="s">
        <v>144</v>
      </c>
      <c r="B13" t="s">
        <v>139</v>
      </c>
      <c r="C13">
        <v>15008191</v>
      </c>
      <c r="D13">
        <v>15629289</v>
      </c>
      <c r="E13">
        <v>16580204</v>
      </c>
      <c r="F13">
        <v>17407796</v>
      </c>
      <c r="G13">
        <v>18356982</v>
      </c>
      <c r="H13">
        <v>18981926</v>
      </c>
      <c r="I13">
        <v>19244981</v>
      </c>
      <c r="J13">
        <v>19331524</v>
      </c>
      <c r="K13">
        <v>22219129</v>
      </c>
      <c r="L13">
        <v>23237815</v>
      </c>
      <c r="M13">
        <v>24011894</v>
      </c>
      <c r="N13">
        <v>25491207</v>
      </c>
    </row>
    <row r="14" spans="1:14" x14ac:dyDescent="0.45">
      <c r="A14" t="s">
        <v>140</v>
      </c>
      <c r="B14" t="s">
        <v>141</v>
      </c>
    </row>
    <row r="15" spans="1:14" x14ac:dyDescent="0.45">
      <c r="A15" s="5" t="s">
        <v>142</v>
      </c>
      <c r="B15" t="s">
        <v>124</v>
      </c>
      <c r="C15">
        <v>20</v>
      </c>
      <c r="D15">
        <v>20</v>
      </c>
      <c r="E15">
        <v>20.5</v>
      </c>
      <c r="F15">
        <v>20.399999999999999</v>
      </c>
      <c r="G15">
        <v>20.7</v>
      </c>
      <c r="H15">
        <v>21.4</v>
      </c>
      <c r="I15">
        <v>23.7</v>
      </c>
      <c r="J15">
        <v>26.8</v>
      </c>
      <c r="K15">
        <v>25.6</v>
      </c>
      <c r="L15">
        <v>28.1</v>
      </c>
      <c r="M15">
        <v>24.2</v>
      </c>
      <c r="N15">
        <v>23.7</v>
      </c>
    </row>
    <row r="16" spans="1:14" x14ac:dyDescent="0.45">
      <c r="A16" s="5" t="s">
        <v>143</v>
      </c>
      <c r="B16" t="s">
        <v>126</v>
      </c>
      <c r="C16">
        <v>19.8</v>
      </c>
      <c r="D16">
        <v>19.8</v>
      </c>
      <c r="E16">
        <v>20.3</v>
      </c>
      <c r="F16">
        <v>20.2</v>
      </c>
      <c r="G16">
        <v>20.5</v>
      </c>
      <c r="H16">
        <v>21.3</v>
      </c>
      <c r="I16">
        <v>23.5</v>
      </c>
      <c r="J16">
        <v>26.6</v>
      </c>
      <c r="K16">
        <v>25.4</v>
      </c>
      <c r="L16">
        <v>27.9</v>
      </c>
      <c r="M16">
        <v>24</v>
      </c>
      <c r="N16">
        <v>23.4</v>
      </c>
    </row>
    <row r="22" spans="1:12" x14ac:dyDescent="0.45">
      <c r="B22" t="s">
        <v>120</v>
      </c>
    </row>
    <row r="23" spans="1:12" x14ac:dyDescent="0.45">
      <c r="C23">
        <v>2015</v>
      </c>
      <c r="D23">
        <v>2016</v>
      </c>
      <c r="E23">
        <v>2017</v>
      </c>
      <c r="F23">
        <v>2018</v>
      </c>
      <c r="G23">
        <v>2019</v>
      </c>
      <c r="H23">
        <v>2020</v>
      </c>
      <c r="I23">
        <v>2021</v>
      </c>
      <c r="J23">
        <v>2022</v>
      </c>
      <c r="K23">
        <v>2023</v>
      </c>
      <c r="L23">
        <v>2024</v>
      </c>
    </row>
    <row r="24" spans="1:12" x14ac:dyDescent="0.45">
      <c r="A24" s="4" t="s">
        <v>145</v>
      </c>
      <c r="B24" t="s">
        <v>146</v>
      </c>
      <c r="C24" s="1">
        <f t="shared" ref="C24:L24" si="0">E6/1000000</f>
        <v>205.96765099999999</v>
      </c>
      <c r="D24" s="1">
        <f t="shared" si="0"/>
        <v>216.92958400000001</v>
      </c>
      <c r="E24" s="1">
        <f t="shared" si="0"/>
        <v>225.52009899999999</v>
      </c>
      <c r="F24" s="1">
        <f t="shared" si="0"/>
        <v>246.425117</v>
      </c>
      <c r="G24" s="1">
        <f t="shared" si="0"/>
        <v>277.65470399999998</v>
      </c>
      <c r="H24" s="1">
        <f t="shared" si="0"/>
        <v>320.76041099999998</v>
      </c>
      <c r="I24" s="1">
        <f t="shared" si="0"/>
        <v>339.73995100000002</v>
      </c>
      <c r="J24" s="1">
        <f t="shared" si="0"/>
        <v>379.87249300000002</v>
      </c>
      <c r="K24" s="1">
        <f t="shared" si="0"/>
        <v>343.49672199999998</v>
      </c>
      <c r="L24" s="1">
        <f t="shared" si="0"/>
        <v>344.51851599999998</v>
      </c>
    </row>
    <row r="25" spans="1:12" x14ac:dyDescent="0.45">
      <c r="A25" s="4"/>
      <c r="B25" t="s">
        <v>147</v>
      </c>
      <c r="C25" s="1">
        <f t="shared" ref="C25:L25" si="1">(E7+E10)/1000000</f>
        <v>45.150798000000002</v>
      </c>
      <c r="D25" s="1">
        <f t="shared" si="1"/>
        <v>42.221820000000001</v>
      </c>
      <c r="E25" s="1">
        <f t="shared" si="1"/>
        <v>44.498995000000001</v>
      </c>
      <c r="F25" s="1">
        <f t="shared" si="1"/>
        <v>41.663933</v>
      </c>
      <c r="G25" s="1">
        <f t="shared" si="1"/>
        <v>46.080272999999998</v>
      </c>
      <c r="H25" s="1">
        <f t="shared" si="1"/>
        <v>48.742845000000003</v>
      </c>
      <c r="I25" s="1">
        <f t="shared" si="1"/>
        <v>53.299016000000002</v>
      </c>
      <c r="J25" s="1">
        <f t="shared" si="1"/>
        <v>54.609037000000001</v>
      </c>
      <c r="K25" s="1">
        <f t="shared" si="1"/>
        <v>64.632768999999996</v>
      </c>
      <c r="L25" s="1">
        <f t="shared" si="1"/>
        <v>73.446776</v>
      </c>
    </row>
    <row r="26" spans="1:12" x14ac:dyDescent="0.45">
      <c r="A26" s="4" t="s">
        <v>148</v>
      </c>
      <c r="B26" s="4"/>
      <c r="C26" s="1">
        <f t="shared" ref="C26:L27" si="2">E8/1000000</f>
        <v>88.042483000000004</v>
      </c>
      <c r="D26" s="1">
        <f t="shared" si="2"/>
        <v>94.932879999999997</v>
      </c>
      <c r="E26" s="1">
        <f t="shared" si="2"/>
        <v>105.753891</v>
      </c>
      <c r="F26" s="1">
        <f t="shared" si="2"/>
        <v>112.40735100000001</v>
      </c>
      <c r="G26" s="1">
        <f t="shared" si="2"/>
        <v>120.955624</v>
      </c>
      <c r="H26" s="1">
        <f t="shared" si="2"/>
        <v>147.87935899999999</v>
      </c>
      <c r="I26" s="1">
        <f t="shared" si="2"/>
        <v>172.510077</v>
      </c>
      <c r="J26" s="1">
        <f t="shared" si="2"/>
        <v>206.81608399999999</v>
      </c>
      <c r="K26" s="1">
        <f t="shared" si="2"/>
        <v>171.19759400000001</v>
      </c>
      <c r="L26" s="1">
        <f t="shared" si="2"/>
        <v>185.22357</v>
      </c>
    </row>
    <row r="27" spans="1:12" x14ac:dyDescent="0.45">
      <c r="A27" s="4" t="s">
        <v>149</v>
      </c>
      <c r="B27" s="4"/>
      <c r="C27" s="1">
        <f t="shared" si="2"/>
        <v>0.190085</v>
      </c>
      <c r="D27" s="1">
        <f t="shared" si="2"/>
        <v>0.26927600000000002</v>
      </c>
      <c r="E27" s="1">
        <f t="shared" si="2"/>
        <v>4.0362590000000003</v>
      </c>
      <c r="F27" s="1">
        <f t="shared" si="2"/>
        <v>6.6023610000000001</v>
      </c>
      <c r="G27" s="1">
        <f t="shared" si="2"/>
        <v>11.158970999999999</v>
      </c>
      <c r="H27" s="1">
        <f t="shared" si="2"/>
        <v>0.39850400000000002</v>
      </c>
      <c r="I27" s="1">
        <f t="shared" si="2"/>
        <v>2.563714</v>
      </c>
      <c r="J27" s="1">
        <f t="shared" si="2"/>
        <v>11.604730999999999</v>
      </c>
      <c r="K27" s="1">
        <f t="shared" si="2"/>
        <v>1.027328</v>
      </c>
      <c r="L27" s="1">
        <f t="shared" si="2"/>
        <v>0.41966700000000001</v>
      </c>
    </row>
    <row r="28" spans="1:12" x14ac:dyDescent="0.45">
      <c r="A28" s="4" t="s">
        <v>150</v>
      </c>
      <c r="B28" s="4"/>
      <c r="C28" s="1">
        <f>SUM(C24:C27)</f>
        <v>339.35101700000001</v>
      </c>
      <c r="D28" s="1">
        <f t="shared" ref="D28:L28" si="3">SUM(D24:D27)</f>
        <v>354.35356000000002</v>
      </c>
      <c r="E28" s="1">
        <f t="shared" si="3"/>
        <v>379.80924399999998</v>
      </c>
      <c r="F28" s="1">
        <f t="shared" si="3"/>
        <v>407.09876199999997</v>
      </c>
      <c r="G28" s="1">
        <f t="shared" si="3"/>
        <v>455.84957199999997</v>
      </c>
      <c r="H28" s="1">
        <f t="shared" si="3"/>
        <v>517.78111899999999</v>
      </c>
      <c r="I28" s="1">
        <f t="shared" si="3"/>
        <v>568.11275799999999</v>
      </c>
      <c r="J28" s="1">
        <f t="shared" si="3"/>
        <v>652.90234500000008</v>
      </c>
      <c r="K28" s="1">
        <f t="shared" si="3"/>
        <v>580.35441300000002</v>
      </c>
      <c r="L28" s="1">
        <f t="shared" si="3"/>
        <v>603.60852899999998</v>
      </c>
    </row>
    <row r="29" spans="1:12" x14ac:dyDescent="0.45">
      <c r="A29" s="4" t="s">
        <v>151</v>
      </c>
      <c r="B29" s="4"/>
      <c r="C29" s="3">
        <f>(E4*1000000)/(E13*100000000)</f>
        <v>0.20467240149759316</v>
      </c>
      <c r="D29" s="3">
        <f t="shared" ref="C29:L29" si="4">(F4*1000000)/(F13*100000000)</f>
        <v>0.20356026690570134</v>
      </c>
      <c r="E29" s="3">
        <f t="shared" si="4"/>
        <v>0.2069017902833919</v>
      </c>
      <c r="F29" s="3">
        <f t="shared" si="4"/>
        <v>0.21446651988844545</v>
      </c>
      <c r="G29" s="3">
        <f t="shared" si="4"/>
        <v>0.2368667306036831</v>
      </c>
      <c r="H29" s="3">
        <f t="shared" si="4"/>
        <v>0.26784288657221234</v>
      </c>
      <c r="I29" s="3">
        <f t="shared" si="4"/>
        <v>0.25568633135889351</v>
      </c>
      <c r="J29" s="3">
        <f t="shared" si="4"/>
        <v>0.28096546297489672</v>
      </c>
      <c r="K29" s="3">
        <f t="shared" si="4"/>
        <v>0.24169455937128492</v>
      </c>
      <c r="L29" s="3">
        <f t="shared" si="4"/>
        <v>0.23679087812515115</v>
      </c>
    </row>
  </sheetData>
  <mergeCells count="5">
    <mergeCell ref="A24:A25"/>
    <mergeCell ref="A26:B26"/>
    <mergeCell ref="A27:B27"/>
    <mergeCell ref="A28:B28"/>
    <mergeCell ref="A29:B29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ACED4-72BC-41AF-8A01-60AF8573C0A9}">
  <dimension ref="A1:Y37"/>
  <sheetViews>
    <sheetView workbookViewId="0">
      <selection activeCell="Q25" sqref="Q25"/>
    </sheetView>
  </sheetViews>
  <sheetFormatPr defaultRowHeight="17" x14ac:dyDescent="0.45"/>
  <cols>
    <col min="1" max="1" width="22.33203125" bestFit="1" customWidth="1"/>
    <col min="2" max="2" width="42.08203125" bestFit="1" customWidth="1"/>
    <col min="3" max="12" width="10.5" bestFit="1" customWidth="1"/>
    <col min="16" max="16" width="10.5" bestFit="1" customWidth="1"/>
  </cols>
  <sheetData>
    <row r="1" spans="1:25" x14ac:dyDescent="0.45">
      <c r="A1" t="s">
        <v>152</v>
      </c>
    </row>
    <row r="2" spans="1:25" x14ac:dyDescent="0.45">
      <c r="O2" t="s">
        <v>120</v>
      </c>
    </row>
    <row r="3" spans="1:25" x14ac:dyDescent="0.45">
      <c r="A3" t="s">
        <v>2</v>
      </c>
      <c r="B3" t="s">
        <v>3</v>
      </c>
      <c r="C3">
        <v>2015</v>
      </c>
      <c r="D3">
        <v>2016</v>
      </c>
      <c r="E3">
        <v>2017</v>
      </c>
      <c r="F3">
        <v>2018</v>
      </c>
      <c r="G3">
        <v>2019</v>
      </c>
      <c r="H3">
        <v>2020</v>
      </c>
      <c r="I3">
        <v>2021</v>
      </c>
      <c r="J3">
        <v>2022</v>
      </c>
      <c r="K3">
        <v>2023</v>
      </c>
      <c r="L3">
        <v>2024</v>
      </c>
      <c r="P3" s="2">
        <v>2015</v>
      </c>
      <c r="Q3">
        <v>2016</v>
      </c>
      <c r="R3">
        <v>2017</v>
      </c>
      <c r="S3">
        <v>2018</v>
      </c>
      <c r="T3">
        <v>2019</v>
      </c>
      <c r="U3" s="2">
        <v>2020</v>
      </c>
      <c r="V3" s="2">
        <v>2021</v>
      </c>
      <c r="W3" s="2">
        <v>2022</v>
      </c>
      <c r="X3" s="2">
        <v>2023</v>
      </c>
      <c r="Y3" s="2">
        <v>2024</v>
      </c>
    </row>
    <row r="4" spans="1:25" x14ac:dyDescent="0.45">
      <c r="A4" t="s">
        <v>4</v>
      </c>
      <c r="B4" t="s">
        <v>5</v>
      </c>
      <c r="C4">
        <v>210832685</v>
      </c>
      <c r="D4">
        <v>235715955</v>
      </c>
      <c r="E4">
        <v>258511509</v>
      </c>
      <c r="F4">
        <v>285891986</v>
      </c>
      <c r="G4">
        <v>286031995</v>
      </c>
      <c r="H4">
        <v>276278187</v>
      </c>
      <c r="I4">
        <v>332504798</v>
      </c>
      <c r="J4">
        <v>385159576</v>
      </c>
      <c r="K4">
        <v>333939609</v>
      </c>
      <c r="L4">
        <v>326179304</v>
      </c>
      <c r="O4" t="s">
        <v>0</v>
      </c>
      <c r="P4" s="1">
        <f>SUM(C5,C24,C29,C33,C36)/1000000</f>
        <v>202.33726100000001</v>
      </c>
      <c r="Q4" s="1">
        <f t="shared" ref="Q4:Y4" si="0">SUM(D5,D24,D29,D33,D36)/1000000</f>
        <v>227.670557</v>
      </c>
      <c r="R4" s="1">
        <f t="shared" si="0"/>
        <v>249.982326</v>
      </c>
      <c r="S4" s="1">
        <f t="shared" si="0"/>
        <v>277.07677699999999</v>
      </c>
      <c r="T4" s="1">
        <f t="shared" si="0"/>
        <v>278.14986900000002</v>
      </c>
      <c r="U4" s="1">
        <f t="shared" si="0"/>
        <v>269.21964700000001</v>
      </c>
      <c r="V4" s="1">
        <f t="shared" si="0"/>
        <v>324.27779800000002</v>
      </c>
      <c r="W4" s="1">
        <f t="shared" si="0"/>
        <v>374.83545800000002</v>
      </c>
      <c r="X4" s="1">
        <f t="shared" si="0"/>
        <v>326.65132699999998</v>
      </c>
      <c r="Y4" s="1">
        <f t="shared" si="0"/>
        <v>319.20703700000001</v>
      </c>
    </row>
    <row r="5" spans="1:25" x14ac:dyDescent="0.45">
      <c r="A5" t="s">
        <v>87</v>
      </c>
      <c r="B5" t="s">
        <v>6</v>
      </c>
      <c r="C5">
        <v>182012867</v>
      </c>
      <c r="D5">
        <v>206192573</v>
      </c>
      <c r="E5">
        <v>227768996</v>
      </c>
      <c r="F5">
        <v>254770201</v>
      </c>
      <c r="G5">
        <v>255804538</v>
      </c>
      <c r="H5">
        <v>246987193</v>
      </c>
      <c r="I5">
        <v>296445033</v>
      </c>
      <c r="J5">
        <v>352274995</v>
      </c>
      <c r="K5">
        <v>306059472</v>
      </c>
      <c r="L5">
        <v>298259369</v>
      </c>
      <c r="O5" t="s">
        <v>1</v>
      </c>
      <c r="P5" s="1">
        <f>C21/1000000</f>
        <v>8.4954239999999999</v>
      </c>
      <c r="Q5" s="1">
        <f t="shared" ref="Q5:Y5" si="1">D21/1000000</f>
        <v>8.0453980000000005</v>
      </c>
      <c r="R5" s="1">
        <f t="shared" si="1"/>
        <v>8.5291829999999997</v>
      </c>
      <c r="S5" s="1">
        <f t="shared" si="1"/>
        <v>8.8152089999999994</v>
      </c>
      <c r="T5" s="1">
        <f t="shared" si="1"/>
        <v>7.8821260000000004</v>
      </c>
      <c r="U5" s="1">
        <f t="shared" si="1"/>
        <v>7.0585399999999998</v>
      </c>
      <c r="V5" s="1">
        <f t="shared" si="1"/>
        <v>8.2270000000000003</v>
      </c>
      <c r="W5" s="1">
        <f t="shared" si="1"/>
        <v>10.324118</v>
      </c>
      <c r="X5" s="1">
        <f t="shared" si="1"/>
        <v>7.2882819999999997</v>
      </c>
      <c r="Y5" s="1">
        <f t="shared" si="1"/>
        <v>6.9722670000000004</v>
      </c>
    </row>
    <row r="6" spans="1:25" x14ac:dyDescent="0.45">
      <c r="A6" t="s">
        <v>88</v>
      </c>
      <c r="B6" t="s">
        <v>7</v>
      </c>
      <c r="C6">
        <v>110794855</v>
      </c>
      <c r="D6">
        <v>125962528</v>
      </c>
      <c r="E6">
        <v>141027508</v>
      </c>
      <c r="F6">
        <v>162757841</v>
      </c>
      <c r="G6">
        <v>164065433</v>
      </c>
      <c r="H6">
        <v>158997225</v>
      </c>
      <c r="I6">
        <v>199514775</v>
      </c>
      <c r="J6">
        <v>246912975</v>
      </c>
      <c r="K6">
        <v>210886593</v>
      </c>
      <c r="L6">
        <v>195227374</v>
      </c>
      <c r="O6" t="s">
        <v>121</v>
      </c>
      <c r="P6" s="1">
        <f>SUM(P4:P5)</f>
        <v>210.83268500000003</v>
      </c>
      <c r="Q6" s="1">
        <f t="shared" ref="Q6:Y6" si="2">SUM(Q4:Q5)</f>
        <v>235.71595500000001</v>
      </c>
      <c r="R6" s="1">
        <f t="shared" si="2"/>
        <v>258.51150899999999</v>
      </c>
      <c r="S6" s="1">
        <f t="shared" si="2"/>
        <v>285.89198599999997</v>
      </c>
      <c r="T6" s="1">
        <f t="shared" si="2"/>
        <v>286.03199500000005</v>
      </c>
      <c r="U6" s="1">
        <f t="shared" si="2"/>
        <v>276.278187</v>
      </c>
      <c r="V6" s="1">
        <f t="shared" si="2"/>
        <v>332.50479799999999</v>
      </c>
      <c r="W6" s="1">
        <f t="shared" si="2"/>
        <v>385.15957600000002</v>
      </c>
      <c r="X6" s="1">
        <f t="shared" si="2"/>
        <v>333.93960899999996</v>
      </c>
      <c r="Y6" s="1">
        <f t="shared" si="2"/>
        <v>326.179304</v>
      </c>
    </row>
    <row r="7" spans="1:25" x14ac:dyDescent="0.45">
      <c r="A7" t="s">
        <v>89</v>
      </c>
      <c r="B7" t="s">
        <v>8</v>
      </c>
      <c r="C7">
        <v>60721761</v>
      </c>
      <c r="D7">
        <v>68497048</v>
      </c>
      <c r="E7">
        <v>75065760</v>
      </c>
      <c r="F7">
        <v>84461613</v>
      </c>
      <c r="G7">
        <v>83561997</v>
      </c>
      <c r="H7">
        <v>93108724</v>
      </c>
      <c r="I7">
        <v>114112339</v>
      </c>
      <c r="J7">
        <v>128748596</v>
      </c>
      <c r="K7">
        <v>115833024</v>
      </c>
      <c r="L7">
        <v>117417964</v>
      </c>
      <c r="O7" t="s">
        <v>122</v>
      </c>
      <c r="P7" s="1">
        <f>세외수입!C4/1000000</f>
        <v>51.105600000000003</v>
      </c>
      <c r="Q7" s="1">
        <f>세외수입!D4/1000000</f>
        <v>45.958620000000003</v>
      </c>
      <c r="R7" s="1">
        <f>세외수입!E4/1000000</f>
        <v>34.389102000000001</v>
      </c>
      <c r="S7" s="1">
        <f>세외수입!F4/1000000</f>
        <v>30.326495999999999</v>
      </c>
      <c r="T7" s="1">
        <f>세외수입!G4/1000000</f>
        <v>46.207675999999999</v>
      </c>
      <c r="U7" s="1">
        <f>세외수입!H4/1000000</f>
        <v>116.088854</v>
      </c>
      <c r="V7" s="1">
        <f>세외수입!I4/1000000</f>
        <v>105.85849</v>
      </c>
      <c r="W7" s="1">
        <f>세외수입!J4/1000000</f>
        <v>105.44584399999999</v>
      </c>
      <c r="X7" s="1">
        <f>세외수입!K4/1000000</f>
        <v>71.237618999999995</v>
      </c>
      <c r="Y7" s="1">
        <f>세외수입!L4/1000000</f>
        <v>111.138516</v>
      </c>
    </row>
    <row r="8" spans="1:25" x14ac:dyDescent="0.45">
      <c r="A8" t="s">
        <v>90</v>
      </c>
      <c r="B8" t="s">
        <v>9</v>
      </c>
      <c r="C8">
        <v>45029483</v>
      </c>
      <c r="D8">
        <v>52115420</v>
      </c>
      <c r="E8">
        <v>59176596</v>
      </c>
      <c r="F8">
        <v>70937351</v>
      </c>
      <c r="G8">
        <v>72174278</v>
      </c>
      <c r="H8">
        <v>55513201</v>
      </c>
      <c r="I8">
        <v>70396282</v>
      </c>
      <c r="J8">
        <v>103570360</v>
      </c>
      <c r="K8">
        <v>80419515</v>
      </c>
      <c r="L8">
        <v>62511273</v>
      </c>
      <c r="O8" t="s">
        <v>121</v>
      </c>
      <c r="P8" s="1">
        <f>SUM(P6:P7)</f>
        <v>261.93828500000001</v>
      </c>
      <c r="Q8" s="1">
        <f t="shared" ref="Q8:Y8" si="3">SUM(Q6:Q7)</f>
        <v>281.674575</v>
      </c>
      <c r="R8" s="1">
        <f t="shared" si="3"/>
        <v>292.90061099999997</v>
      </c>
      <c r="S8" s="1">
        <f t="shared" si="3"/>
        <v>316.21848199999999</v>
      </c>
      <c r="T8" s="1">
        <f t="shared" si="3"/>
        <v>332.23967100000004</v>
      </c>
      <c r="U8" s="1">
        <f t="shared" si="3"/>
        <v>392.36704099999997</v>
      </c>
      <c r="V8" s="1">
        <f t="shared" si="3"/>
        <v>438.36328800000001</v>
      </c>
      <c r="W8" s="1">
        <f t="shared" si="3"/>
        <v>490.60541999999998</v>
      </c>
      <c r="X8" s="1">
        <f t="shared" si="3"/>
        <v>405.17722799999996</v>
      </c>
      <c r="Y8" s="1">
        <f t="shared" si="3"/>
        <v>437.31781999999998</v>
      </c>
    </row>
    <row r="9" spans="1:25" x14ac:dyDescent="0.45">
      <c r="A9" t="s">
        <v>91</v>
      </c>
      <c r="B9" t="s">
        <v>10</v>
      </c>
      <c r="C9">
        <v>5043611</v>
      </c>
      <c r="D9">
        <v>5350060</v>
      </c>
      <c r="E9">
        <v>6785152</v>
      </c>
      <c r="F9">
        <v>7358877</v>
      </c>
      <c r="G9">
        <v>8329158</v>
      </c>
      <c r="H9">
        <v>10375300</v>
      </c>
      <c r="I9">
        <v>15006154</v>
      </c>
      <c r="J9">
        <v>14594019</v>
      </c>
      <c r="K9">
        <v>14634054</v>
      </c>
      <c r="L9">
        <v>15298137</v>
      </c>
    </row>
    <row r="10" spans="1:25" x14ac:dyDescent="0.45">
      <c r="A10" t="s">
        <v>92</v>
      </c>
      <c r="B10" t="s">
        <v>11</v>
      </c>
      <c r="O10" t="s">
        <v>0</v>
      </c>
      <c r="P10" s="3">
        <f>P4/P$8</f>
        <v>0.77246157811562366</v>
      </c>
      <c r="Q10" s="3">
        <f t="shared" ref="Q10:Y10" si="4">Q4/Q$8</f>
        <v>0.80827514162398217</v>
      </c>
      <c r="R10" s="3">
        <f t="shared" si="4"/>
        <v>0.85347150743908839</v>
      </c>
      <c r="S10" s="3">
        <f t="shared" si="4"/>
        <v>0.876219426668426</v>
      </c>
      <c r="T10" s="3">
        <f t="shared" si="4"/>
        <v>0.83719643762830476</v>
      </c>
      <c r="U10" s="3">
        <f t="shared" si="4"/>
        <v>0.68614235873089047</v>
      </c>
      <c r="V10" s="3">
        <f t="shared" si="4"/>
        <v>0.73974670524872965</v>
      </c>
      <c r="W10" s="3">
        <f t="shared" si="4"/>
        <v>0.76402632893864086</v>
      </c>
      <c r="X10" s="3">
        <f t="shared" si="4"/>
        <v>0.806193696058358</v>
      </c>
      <c r="Y10" s="3">
        <f t="shared" si="4"/>
        <v>0.72992003161453611</v>
      </c>
    </row>
    <row r="11" spans="1:25" x14ac:dyDescent="0.45">
      <c r="A11" t="s">
        <v>93</v>
      </c>
      <c r="B11" t="s">
        <v>12</v>
      </c>
      <c r="O11" t="s">
        <v>1</v>
      </c>
      <c r="P11" s="3">
        <f t="shared" ref="P11:Y14" si="5">P5/P$8</f>
        <v>3.2432922128966368E-2</v>
      </c>
      <c r="Q11" s="3">
        <f t="shared" si="5"/>
        <v>2.8562741241377573E-2</v>
      </c>
      <c r="R11" s="3">
        <f t="shared" si="5"/>
        <v>2.9119717336472201E-2</v>
      </c>
      <c r="S11" s="3">
        <f t="shared" si="5"/>
        <v>2.7876956919931074E-2</v>
      </c>
      <c r="T11" s="3">
        <f t="shared" si="5"/>
        <v>2.3724216847060383E-2</v>
      </c>
      <c r="U11" s="3">
        <f t="shared" si="5"/>
        <v>1.7989635373068965E-2</v>
      </c>
      <c r="V11" s="3">
        <f t="shared" si="5"/>
        <v>1.8767538763419439E-2</v>
      </c>
      <c r="W11" s="3">
        <f t="shared" si="5"/>
        <v>2.1043628095262383E-2</v>
      </c>
      <c r="X11" s="3">
        <f t="shared" si="5"/>
        <v>1.798788652554778E-2</v>
      </c>
      <c r="Y11" s="3">
        <f t="shared" si="5"/>
        <v>1.5943249236905096E-2</v>
      </c>
    </row>
    <row r="12" spans="1:25" x14ac:dyDescent="0.45">
      <c r="A12" t="s">
        <v>94</v>
      </c>
      <c r="B12" t="s">
        <v>13</v>
      </c>
      <c r="O12" t="s">
        <v>121</v>
      </c>
      <c r="P12" s="3">
        <f t="shared" si="5"/>
        <v>0.80489450024459008</v>
      </c>
      <c r="Q12" s="3">
        <f t="shared" si="5"/>
        <v>0.83683788286535976</v>
      </c>
      <c r="R12" s="3">
        <f t="shared" si="5"/>
        <v>0.88259122477556051</v>
      </c>
      <c r="S12" s="3">
        <f t="shared" si="5"/>
        <v>0.90409638358835709</v>
      </c>
      <c r="T12" s="3">
        <f t="shared" si="5"/>
        <v>0.86092065447536525</v>
      </c>
      <c r="U12" s="3">
        <f t="shared" si="5"/>
        <v>0.70413199410395944</v>
      </c>
      <c r="V12" s="3">
        <f t="shared" si="5"/>
        <v>0.75851424401214906</v>
      </c>
      <c r="W12" s="3">
        <f t="shared" si="5"/>
        <v>0.78506995703390314</v>
      </c>
      <c r="X12" s="3">
        <f t="shared" si="5"/>
        <v>0.82418158258390573</v>
      </c>
      <c r="Y12" s="3">
        <f t="shared" si="5"/>
        <v>0.74586328085144116</v>
      </c>
    </row>
    <row r="13" spans="1:25" x14ac:dyDescent="0.45">
      <c r="A13" t="s">
        <v>95</v>
      </c>
      <c r="B13" t="s">
        <v>14</v>
      </c>
      <c r="C13">
        <v>66829730</v>
      </c>
      <c r="D13">
        <v>75177561</v>
      </c>
      <c r="E13">
        <v>81456098</v>
      </c>
      <c r="F13">
        <v>86701333</v>
      </c>
      <c r="G13">
        <v>85020708</v>
      </c>
      <c r="H13">
        <v>82859679</v>
      </c>
      <c r="I13">
        <v>90824006</v>
      </c>
      <c r="J13">
        <v>97247719</v>
      </c>
      <c r="K13">
        <v>88676048</v>
      </c>
      <c r="L13">
        <v>95652532</v>
      </c>
      <c r="O13" t="s">
        <v>122</v>
      </c>
      <c r="P13" s="3">
        <f t="shared" si="5"/>
        <v>0.19510549975540994</v>
      </c>
      <c r="Q13" s="3">
        <f t="shared" si="5"/>
        <v>0.16316211713464021</v>
      </c>
      <c r="R13" s="3">
        <f t="shared" si="5"/>
        <v>0.11740877522443954</v>
      </c>
      <c r="S13" s="3">
        <f t="shared" si="5"/>
        <v>9.5903616411642884E-2</v>
      </c>
      <c r="T13" s="3">
        <f t="shared" si="5"/>
        <v>0.1390793455246348</v>
      </c>
      <c r="U13" s="3">
        <f t="shared" si="5"/>
        <v>0.29586800589604062</v>
      </c>
      <c r="V13" s="3">
        <f t="shared" si="5"/>
        <v>0.24148575598785088</v>
      </c>
      <c r="W13" s="3">
        <f t="shared" si="5"/>
        <v>0.21493004296609686</v>
      </c>
      <c r="X13" s="3">
        <f t="shared" si="5"/>
        <v>0.17581841741609427</v>
      </c>
      <c r="Y13" s="3">
        <f t="shared" si="5"/>
        <v>0.25413671914855884</v>
      </c>
    </row>
    <row r="14" spans="1:25" x14ac:dyDescent="0.45">
      <c r="A14" t="s">
        <v>96</v>
      </c>
      <c r="B14" t="s">
        <v>15</v>
      </c>
      <c r="C14">
        <v>54159098</v>
      </c>
      <c r="D14">
        <v>61828024</v>
      </c>
      <c r="E14">
        <v>67086975</v>
      </c>
      <c r="F14">
        <v>70009108</v>
      </c>
      <c r="G14">
        <v>70828268</v>
      </c>
      <c r="H14">
        <v>64882907</v>
      </c>
      <c r="I14">
        <v>71204565</v>
      </c>
      <c r="J14">
        <v>81626608</v>
      </c>
      <c r="K14">
        <v>73774862</v>
      </c>
      <c r="L14">
        <v>82235811</v>
      </c>
      <c r="O14" t="s">
        <v>121</v>
      </c>
      <c r="P14" s="3">
        <f t="shared" si="5"/>
        <v>1</v>
      </c>
      <c r="Q14" s="3">
        <f t="shared" si="5"/>
        <v>1</v>
      </c>
      <c r="R14" s="3">
        <f t="shared" si="5"/>
        <v>1</v>
      </c>
      <c r="S14" s="3">
        <f t="shared" si="5"/>
        <v>1</v>
      </c>
      <c r="T14" s="3">
        <f t="shared" si="5"/>
        <v>1</v>
      </c>
      <c r="U14" s="3">
        <f t="shared" si="5"/>
        <v>1</v>
      </c>
      <c r="V14" s="3">
        <f t="shared" si="5"/>
        <v>1</v>
      </c>
      <c r="W14" s="3">
        <f t="shared" si="5"/>
        <v>1</v>
      </c>
      <c r="X14" s="3">
        <f t="shared" si="5"/>
        <v>1</v>
      </c>
      <c r="Y14" s="3">
        <f t="shared" si="5"/>
        <v>1</v>
      </c>
    </row>
    <row r="15" spans="1:25" x14ac:dyDescent="0.45">
      <c r="A15" t="s">
        <v>97</v>
      </c>
      <c r="B15" t="s">
        <v>16</v>
      </c>
      <c r="C15">
        <v>8000762</v>
      </c>
      <c r="D15">
        <v>8881274</v>
      </c>
      <c r="E15">
        <v>9860807</v>
      </c>
      <c r="F15">
        <v>10451027</v>
      </c>
      <c r="G15">
        <v>9719127</v>
      </c>
      <c r="H15">
        <v>9218116</v>
      </c>
      <c r="I15">
        <v>9363810</v>
      </c>
      <c r="J15">
        <v>9318244</v>
      </c>
      <c r="K15">
        <v>8820924</v>
      </c>
      <c r="L15">
        <v>8656553</v>
      </c>
    </row>
    <row r="16" spans="1:25" x14ac:dyDescent="0.45">
      <c r="A16" t="s">
        <v>98</v>
      </c>
      <c r="B16" t="s">
        <v>17</v>
      </c>
    </row>
    <row r="17" spans="1:12" x14ac:dyDescent="0.45">
      <c r="A17" t="s">
        <v>99</v>
      </c>
      <c r="B17" t="s">
        <v>18</v>
      </c>
      <c r="C17">
        <v>4669870</v>
      </c>
      <c r="D17">
        <v>4468083</v>
      </c>
      <c r="E17">
        <v>4508316</v>
      </c>
      <c r="F17">
        <v>6241198</v>
      </c>
      <c r="G17">
        <v>4473313</v>
      </c>
      <c r="H17">
        <v>8758656</v>
      </c>
      <c r="I17">
        <v>10255631</v>
      </c>
      <c r="J17">
        <v>6302867</v>
      </c>
      <c r="K17">
        <v>6080262</v>
      </c>
      <c r="L17">
        <v>4760168</v>
      </c>
    </row>
    <row r="18" spans="1:12" x14ac:dyDescent="0.45">
      <c r="A18" t="s">
        <v>100</v>
      </c>
      <c r="B18" t="s">
        <v>19</v>
      </c>
    </row>
    <row r="19" spans="1:12" x14ac:dyDescent="0.45">
      <c r="A19" t="s">
        <v>101</v>
      </c>
      <c r="B19" t="s">
        <v>20</v>
      </c>
      <c r="C19">
        <v>3434838</v>
      </c>
      <c r="D19">
        <v>4146690</v>
      </c>
      <c r="E19">
        <v>4389625</v>
      </c>
      <c r="F19">
        <v>4429774</v>
      </c>
      <c r="G19">
        <v>5872809</v>
      </c>
      <c r="H19">
        <v>4165083</v>
      </c>
      <c r="I19">
        <v>5146496</v>
      </c>
      <c r="J19">
        <v>7315527</v>
      </c>
      <c r="K19">
        <v>5699899</v>
      </c>
      <c r="L19">
        <v>6533443</v>
      </c>
    </row>
    <row r="20" spans="1:12" x14ac:dyDescent="0.45">
      <c r="A20" t="s">
        <v>102</v>
      </c>
      <c r="B20" t="s">
        <v>21</v>
      </c>
      <c r="C20">
        <v>953446</v>
      </c>
      <c r="D20">
        <v>905795</v>
      </c>
      <c r="E20">
        <v>895764</v>
      </c>
      <c r="F20">
        <v>881253</v>
      </c>
      <c r="G20">
        <v>845588</v>
      </c>
      <c r="H20">
        <v>965206</v>
      </c>
      <c r="I20">
        <v>959756</v>
      </c>
      <c r="J20">
        <v>798775</v>
      </c>
      <c r="K20">
        <v>796932</v>
      </c>
      <c r="L20">
        <v>846020</v>
      </c>
    </row>
    <row r="21" spans="1:12" x14ac:dyDescent="0.45">
      <c r="A21" t="s">
        <v>103</v>
      </c>
      <c r="B21" t="s">
        <v>22</v>
      </c>
      <c r="C21">
        <v>8495424</v>
      </c>
      <c r="D21">
        <v>8045398</v>
      </c>
      <c r="E21">
        <v>8529183</v>
      </c>
      <c r="F21">
        <v>8815209</v>
      </c>
      <c r="G21">
        <v>7882126</v>
      </c>
      <c r="H21">
        <v>7058540</v>
      </c>
      <c r="I21">
        <v>8227000</v>
      </c>
      <c r="J21">
        <v>10324118</v>
      </c>
      <c r="K21">
        <v>7288282</v>
      </c>
      <c r="L21">
        <v>6972267</v>
      </c>
    </row>
    <row r="22" spans="1:12" x14ac:dyDescent="0.45">
      <c r="A22" t="s">
        <v>104</v>
      </c>
      <c r="B22" t="s">
        <v>22</v>
      </c>
      <c r="C22">
        <v>8199774</v>
      </c>
      <c r="D22">
        <v>7752896</v>
      </c>
      <c r="E22">
        <v>8142175</v>
      </c>
      <c r="F22">
        <v>8400631</v>
      </c>
      <c r="G22">
        <v>7403481</v>
      </c>
      <c r="H22">
        <v>6753183</v>
      </c>
      <c r="I22">
        <v>7865486</v>
      </c>
      <c r="J22">
        <v>9516553</v>
      </c>
      <c r="K22">
        <v>6997580</v>
      </c>
      <c r="L22">
        <v>6658516</v>
      </c>
    </row>
    <row r="23" spans="1:12" x14ac:dyDescent="0.45">
      <c r="A23" t="s">
        <v>105</v>
      </c>
      <c r="B23" t="s">
        <v>20</v>
      </c>
      <c r="C23">
        <v>295650</v>
      </c>
      <c r="D23">
        <v>292502</v>
      </c>
      <c r="E23">
        <v>387009</v>
      </c>
      <c r="F23">
        <v>414578</v>
      </c>
      <c r="G23">
        <v>478646</v>
      </c>
      <c r="H23">
        <v>305357</v>
      </c>
      <c r="I23">
        <v>361514</v>
      </c>
      <c r="J23">
        <v>807565</v>
      </c>
      <c r="K23">
        <v>290703</v>
      </c>
      <c r="L23">
        <v>313751</v>
      </c>
    </row>
    <row r="24" spans="1:12" x14ac:dyDescent="0.45">
      <c r="A24" t="s">
        <v>106</v>
      </c>
      <c r="B24" t="s">
        <v>23</v>
      </c>
      <c r="C24">
        <v>183</v>
      </c>
      <c r="D24">
        <v>263</v>
      </c>
      <c r="E24">
        <v>331</v>
      </c>
      <c r="F24">
        <v>269</v>
      </c>
      <c r="G24">
        <v>271</v>
      </c>
      <c r="H24">
        <v>178</v>
      </c>
      <c r="I24">
        <v>287</v>
      </c>
      <c r="J24">
        <v>898</v>
      </c>
      <c r="K24">
        <v>137</v>
      </c>
      <c r="L24">
        <v>80</v>
      </c>
    </row>
    <row r="25" spans="1:12" x14ac:dyDescent="0.45">
      <c r="A25" t="s">
        <v>107</v>
      </c>
      <c r="B25" t="s">
        <v>23</v>
      </c>
      <c r="C25">
        <v>-5</v>
      </c>
    </row>
    <row r="26" spans="1:12" x14ac:dyDescent="0.45">
      <c r="A26" t="s">
        <v>108</v>
      </c>
      <c r="B26" t="s">
        <v>24</v>
      </c>
    </row>
    <row r="27" spans="1:12" x14ac:dyDescent="0.45">
      <c r="A27" t="s">
        <v>109</v>
      </c>
      <c r="B27" t="s">
        <v>25</v>
      </c>
    </row>
    <row r="28" spans="1:12" x14ac:dyDescent="0.45">
      <c r="A28" t="s">
        <v>110</v>
      </c>
      <c r="B28" t="s">
        <v>26</v>
      </c>
      <c r="C28">
        <v>188</v>
      </c>
      <c r="D28">
        <v>263</v>
      </c>
      <c r="E28">
        <v>331</v>
      </c>
      <c r="F28">
        <v>269</v>
      </c>
      <c r="G28">
        <v>271</v>
      </c>
      <c r="H28">
        <v>178</v>
      </c>
      <c r="I28">
        <v>287</v>
      </c>
      <c r="J28">
        <v>898</v>
      </c>
      <c r="K28">
        <v>137</v>
      </c>
      <c r="L28">
        <v>80</v>
      </c>
    </row>
    <row r="29" spans="1:12" x14ac:dyDescent="0.45">
      <c r="A29" t="s">
        <v>111</v>
      </c>
      <c r="B29" t="s">
        <v>27</v>
      </c>
      <c r="C29">
        <v>14054594</v>
      </c>
      <c r="D29">
        <v>15303016</v>
      </c>
      <c r="E29">
        <v>15552612</v>
      </c>
      <c r="F29">
        <v>15334854</v>
      </c>
      <c r="G29">
        <v>14562707</v>
      </c>
      <c r="H29">
        <v>13937883</v>
      </c>
      <c r="I29">
        <v>16598390</v>
      </c>
      <c r="J29">
        <v>11116375</v>
      </c>
      <c r="K29">
        <v>10843590</v>
      </c>
      <c r="L29">
        <v>11389082</v>
      </c>
    </row>
    <row r="30" spans="1:12" x14ac:dyDescent="0.45">
      <c r="A30" t="s">
        <v>112</v>
      </c>
      <c r="B30" t="s">
        <v>27</v>
      </c>
      <c r="C30">
        <v>14049364</v>
      </c>
      <c r="D30">
        <v>15302418</v>
      </c>
      <c r="E30">
        <v>15524886</v>
      </c>
      <c r="F30">
        <v>15331969</v>
      </c>
      <c r="G30">
        <v>14559936</v>
      </c>
      <c r="H30">
        <v>13937462</v>
      </c>
      <c r="I30">
        <v>16598363</v>
      </c>
      <c r="J30">
        <v>11116082</v>
      </c>
      <c r="K30">
        <v>10842755</v>
      </c>
      <c r="L30">
        <v>11388682</v>
      </c>
    </row>
    <row r="31" spans="1:12" x14ac:dyDescent="0.45">
      <c r="A31" t="s">
        <v>113</v>
      </c>
      <c r="B31" t="s">
        <v>28</v>
      </c>
      <c r="C31">
        <v>5177</v>
      </c>
      <c r="D31">
        <v>554</v>
      </c>
      <c r="E31">
        <v>27715</v>
      </c>
      <c r="F31">
        <v>2873</v>
      </c>
      <c r="G31">
        <v>2760</v>
      </c>
      <c r="H31">
        <v>777</v>
      </c>
      <c r="I31">
        <v>-36</v>
      </c>
      <c r="J31">
        <v>273</v>
      </c>
      <c r="K31">
        <v>811</v>
      </c>
      <c r="L31">
        <v>375</v>
      </c>
    </row>
    <row r="32" spans="1:12" x14ac:dyDescent="0.45">
      <c r="A32" t="s">
        <v>114</v>
      </c>
      <c r="B32" t="s">
        <v>29</v>
      </c>
      <c r="C32">
        <v>53</v>
      </c>
      <c r="D32">
        <v>44</v>
      </c>
      <c r="E32">
        <v>11</v>
      </c>
      <c r="F32">
        <v>12</v>
      </c>
      <c r="G32">
        <v>11</v>
      </c>
      <c r="H32">
        <v>-356</v>
      </c>
      <c r="I32">
        <v>63</v>
      </c>
      <c r="J32">
        <v>20</v>
      </c>
      <c r="K32">
        <v>24</v>
      </c>
      <c r="L32">
        <v>24</v>
      </c>
    </row>
    <row r="33" spans="1:12" x14ac:dyDescent="0.45">
      <c r="A33" t="s">
        <v>115</v>
      </c>
      <c r="B33" t="s">
        <v>30</v>
      </c>
      <c r="C33">
        <v>4870582</v>
      </c>
      <c r="D33">
        <v>4880813</v>
      </c>
      <c r="E33">
        <v>5008413</v>
      </c>
      <c r="F33">
        <v>5098691</v>
      </c>
      <c r="G33">
        <v>5111088</v>
      </c>
      <c r="H33">
        <v>4693743</v>
      </c>
      <c r="I33">
        <v>5103866</v>
      </c>
      <c r="J33">
        <v>4644380</v>
      </c>
      <c r="K33">
        <v>5151619</v>
      </c>
      <c r="L33">
        <v>5373797</v>
      </c>
    </row>
    <row r="34" spans="1:12" x14ac:dyDescent="0.45">
      <c r="A34" t="s">
        <v>116</v>
      </c>
      <c r="B34" t="s">
        <v>30</v>
      </c>
      <c r="C34">
        <v>4837429</v>
      </c>
      <c r="D34">
        <v>4860087</v>
      </c>
      <c r="E34">
        <v>4987915</v>
      </c>
      <c r="F34">
        <v>5080573</v>
      </c>
      <c r="G34">
        <v>5095153</v>
      </c>
      <c r="H34">
        <v>4676131</v>
      </c>
      <c r="I34">
        <v>5086664</v>
      </c>
      <c r="J34">
        <v>4651560</v>
      </c>
      <c r="K34">
        <v>5131880</v>
      </c>
      <c r="L34">
        <v>5354230</v>
      </c>
    </row>
    <row r="35" spans="1:12" x14ac:dyDescent="0.45">
      <c r="A35" t="s">
        <v>117</v>
      </c>
      <c r="B35" t="s">
        <v>31</v>
      </c>
      <c r="C35">
        <v>33153</v>
      </c>
      <c r="D35">
        <v>20726</v>
      </c>
      <c r="E35">
        <v>20498</v>
      </c>
      <c r="F35">
        <v>18118</v>
      </c>
      <c r="G35">
        <v>15935</v>
      </c>
      <c r="H35">
        <v>17612</v>
      </c>
      <c r="I35">
        <v>17202</v>
      </c>
      <c r="J35">
        <v>-7180</v>
      </c>
      <c r="K35">
        <v>19739</v>
      </c>
      <c r="L35">
        <v>19567</v>
      </c>
    </row>
    <row r="36" spans="1:12" x14ac:dyDescent="0.45">
      <c r="A36" t="s">
        <v>118</v>
      </c>
      <c r="B36" t="s">
        <v>32</v>
      </c>
      <c r="C36">
        <v>1399035</v>
      </c>
      <c r="D36">
        <v>1293892</v>
      </c>
      <c r="E36">
        <v>1651974</v>
      </c>
      <c r="F36">
        <v>1872762</v>
      </c>
      <c r="G36">
        <v>2671265</v>
      </c>
      <c r="H36">
        <v>3600650</v>
      </c>
      <c r="I36">
        <v>6130222</v>
      </c>
      <c r="J36">
        <v>6798810</v>
      </c>
      <c r="K36">
        <v>4596509</v>
      </c>
      <c r="L36">
        <v>4184709</v>
      </c>
    </row>
    <row r="37" spans="1:12" x14ac:dyDescent="0.45">
      <c r="A37" t="s">
        <v>119</v>
      </c>
      <c r="B37" t="s">
        <v>32</v>
      </c>
      <c r="C37">
        <v>1399035</v>
      </c>
      <c r="D37">
        <v>1293892</v>
      </c>
      <c r="E37">
        <v>1651974</v>
      </c>
      <c r="F37">
        <v>1872762</v>
      </c>
      <c r="G37">
        <v>2671265</v>
      </c>
      <c r="H37">
        <v>3600650</v>
      </c>
      <c r="I37">
        <v>6130222</v>
      </c>
      <c r="J37">
        <v>6798810</v>
      </c>
      <c r="K37">
        <v>4596509</v>
      </c>
      <c r="L37">
        <v>4184709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10FC8-3B25-4A33-A341-A0759F6BD9D7}">
  <dimension ref="A1:L32"/>
  <sheetViews>
    <sheetView workbookViewId="0">
      <selection activeCell="B38" sqref="B38"/>
    </sheetView>
  </sheetViews>
  <sheetFormatPr defaultRowHeight="17" x14ac:dyDescent="0.45"/>
  <cols>
    <col min="1" max="1" width="18.25" bestFit="1" customWidth="1"/>
    <col min="2" max="2" width="39.6640625" bestFit="1" customWidth="1"/>
    <col min="3" max="7" width="9.1640625" bestFit="1" customWidth="1"/>
    <col min="8" max="10" width="10.1640625" bestFit="1" customWidth="1"/>
    <col min="11" max="11" width="9.1640625" bestFit="1" customWidth="1"/>
    <col min="12" max="12" width="10.1640625" bestFit="1" customWidth="1"/>
  </cols>
  <sheetData>
    <row r="1" spans="1:12" x14ac:dyDescent="0.45">
      <c r="A1" t="s">
        <v>152</v>
      </c>
    </row>
    <row r="3" spans="1:12" x14ac:dyDescent="0.45">
      <c r="A3" t="s">
        <v>2</v>
      </c>
      <c r="B3" t="s">
        <v>3</v>
      </c>
      <c r="C3">
        <v>2015</v>
      </c>
      <c r="D3">
        <v>2016</v>
      </c>
      <c r="E3">
        <v>2017</v>
      </c>
      <c r="F3">
        <v>2018</v>
      </c>
      <c r="G3">
        <v>2019</v>
      </c>
      <c r="H3">
        <v>2020</v>
      </c>
      <c r="I3">
        <v>2021</v>
      </c>
      <c r="J3">
        <v>2022</v>
      </c>
      <c r="K3">
        <v>2023</v>
      </c>
      <c r="L3">
        <v>2024</v>
      </c>
    </row>
    <row r="4" spans="1:12" x14ac:dyDescent="0.45">
      <c r="A4" t="s">
        <v>4</v>
      </c>
      <c r="B4" t="s">
        <v>33</v>
      </c>
      <c r="C4">
        <v>51105600</v>
      </c>
      <c r="D4">
        <v>45958620</v>
      </c>
      <c r="E4">
        <v>34389102</v>
      </c>
      <c r="F4">
        <v>30326496</v>
      </c>
      <c r="G4">
        <v>46207676</v>
      </c>
      <c r="H4">
        <v>116088854</v>
      </c>
      <c r="I4">
        <v>105858490</v>
      </c>
      <c r="J4">
        <v>105445844</v>
      </c>
      <c r="K4">
        <v>71237619</v>
      </c>
      <c r="L4">
        <v>111138516</v>
      </c>
    </row>
    <row r="5" spans="1:12" x14ac:dyDescent="0.45">
      <c r="A5" t="s">
        <v>59</v>
      </c>
      <c r="B5" t="s">
        <v>34</v>
      </c>
      <c r="C5">
        <v>1988760</v>
      </c>
      <c r="D5">
        <v>2734143</v>
      </c>
      <c r="E5">
        <v>3269601</v>
      </c>
      <c r="F5">
        <v>3770075</v>
      </c>
      <c r="G5">
        <v>3337187</v>
      </c>
      <c r="H5">
        <v>4486384</v>
      </c>
      <c r="I5">
        <v>6231211</v>
      </c>
      <c r="J5">
        <v>7445566</v>
      </c>
      <c r="K5">
        <v>3083060</v>
      </c>
      <c r="L5">
        <v>2994799</v>
      </c>
    </row>
    <row r="6" spans="1:12" x14ac:dyDescent="0.45">
      <c r="A6" t="s">
        <v>60</v>
      </c>
      <c r="B6" t="s">
        <v>35</v>
      </c>
      <c r="C6">
        <v>50947</v>
      </c>
      <c r="D6">
        <v>56139</v>
      </c>
      <c r="E6">
        <v>60005</v>
      </c>
      <c r="F6">
        <v>69561</v>
      </c>
      <c r="G6">
        <v>63295</v>
      </c>
      <c r="H6">
        <v>66753</v>
      </c>
      <c r="I6">
        <v>62813</v>
      </c>
      <c r="J6">
        <v>83620</v>
      </c>
      <c r="K6">
        <v>107391</v>
      </c>
      <c r="L6">
        <v>90229</v>
      </c>
    </row>
    <row r="7" spans="1:12" x14ac:dyDescent="0.45">
      <c r="A7" t="s">
        <v>61</v>
      </c>
      <c r="B7" t="s">
        <v>36</v>
      </c>
      <c r="C7">
        <v>505268</v>
      </c>
      <c r="D7">
        <v>739455</v>
      </c>
      <c r="E7">
        <v>795030</v>
      </c>
      <c r="F7">
        <v>858792</v>
      </c>
      <c r="G7">
        <v>677992</v>
      </c>
      <c r="H7">
        <v>607104</v>
      </c>
      <c r="I7">
        <v>915711</v>
      </c>
      <c r="J7">
        <v>1682600</v>
      </c>
      <c r="K7">
        <v>941196</v>
      </c>
      <c r="L7">
        <v>1603347</v>
      </c>
    </row>
    <row r="8" spans="1:12" x14ac:dyDescent="0.45">
      <c r="A8" t="s">
        <v>62</v>
      </c>
      <c r="B8" t="s">
        <v>37</v>
      </c>
      <c r="C8">
        <v>526</v>
      </c>
      <c r="D8">
        <v>613</v>
      </c>
      <c r="E8">
        <v>254</v>
      </c>
      <c r="F8">
        <v>59</v>
      </c>
      <c r="G8">
        <v>3</v>
      </c>
      <c r="H8">
        <v>1618</v>
      </c>
      <c r="I8">
        <v>1</v>
      </c>
    </row>
    <row r="9" spans="1:12" x14ac:dyDescent="0.45">
      <c r="A9" t="s">
        <v>63</v>
      </c>
      <c r="B9" t="s">
        <v>38</v>
      </c>
      <c r="C9">
        <v>1432019</v>
      </c>
      <c r="D9">
        <v>1937936</v>
      </c>
      <c r="E9">
        <v>2414312</v>
      </c>
      <c r="F9">
        <v>2841663</v>
      </c>
      <c r="G9">
        <v>2595897</v>
      </c>
      <c r="H9">
        <v>3810909</v>
      </c>
      <c r="I9">
        <v>5252686</v>
      </c>
      <c r="J9">
        <v>5679345</v>
      </c>
      <c r="K9">
        <v>2034472</v>
      </c>
      <c r="L9">
        <v>1301223</v>
      </c>
    </row>
    <row r="10" spans="1:12" x14ac:dyDescent="0.45">
      <c r="A10" t="s">
        <v>64</v>
      </c>
      <c r="B10" t="s">
        <v>39</v>
      </c>
      <c r="C10">
        <v>5335529</v>
      </c>
      <c r="D10">
        <v>5445224</v>
      </c>
      <c r="E10">
        <v>6543041</v>
      </c>
      <c r="F10">
        <v>5720173</v>
      </c>
      <c r="G10">
        <v>4888638</v>
      </c>
      <c r="H10">
        <v>6298053</v>
      </c>
      <c r="I10">
        <v>6977520</v>
      </c>
      <c r="J10">
        <v>7787791</v>
      </c>
      <c r="K10">
        <v>8256978</v>
      </c>
      <c r="L10">
        <v>7755071</v>
      </c>
    </row>
    <row r="11" spans="1:12" x14ac:dyDescent="0.45">
      <c r="A11" t="s">
        <v>65</v>
      </c>
      <c r="B11" t="s">
        <v>40</v>
      </c>
    </row>
    <row r="12" spans="1:12" x14ac:dyDescent="0.45">
      <c r="A12" t="s">
        <v>66</v>
      </c>
      <c r="B12" t="s">
        <v>41</v>
      </c>
      <c r="C12">
        <v>2894941</v>
      </c>
      <c r="D12">
        <v>2945107</v>
      </c>
      <c r="E12">
        <v>3824330</v>
      </c>
      <c r="F12">
        <v>2727401</v>
      </c>
      <c r="G12">
        <v>2475519</v>
      </c>
      <c r="H12">
        <v>2739841</v>
      </c>
      <c r="I12">
        <v>3308956</v>
      </c>
      <c r="J12">
        <v>3473994</v>
      </c>
      <c r="K12">
        <v>3739144</v>
      </c>
      <c r="L12">
        <v>3415212</v>
      </c>
    </row>
    <row r="13" spans="1:12" x14ac:dyDescent="0.45">
      <c r="A13" t="s">
        <v>67</v>
      </c>
      <c r="B13" t="s">
        <v>42</v>
      </c>
      <c r="C13">
        <v>100184</v>
      </c>
      <c r="D13">
        <v>139345</v>
      </c>
      <c r="E13">
        <v>315857</v>
      </c>
      <c r="F13">
        <v>389209</v>
      </c>
      <c r="G13">
        <v>142079</v>
      </c>
      <c r="H13">
        <v>88439</v>
      </c>
      <c r="I13">
        <v>179640</v>
      </c>
      <c r="J13">
        <v>119501</v>
      </c>
      <c r="K13">
        <v>484</v>
      </c>
      <c r="L13">
        <v>26398</v>
      </c>
    </row>
    <row r="14" spans="1:12" x14ac:dyDescent="0.45">
      <c r="A14" t="s">
        <v>68</v>
      </c>
      <c r="B14" t="s">
        <v>43</v>
      </c>
      <c r="C14">
        <v>854131</v>
      </c>
      <c r="D14">
        <v>921135</v>
      </c>
      <c r="E14">
        <v>862992</v>
      </c>
      <c r="F14">
        <v>862617</v>
      </c>
      <c r="G14">
        <v>869685</v>
      </c>
      <c r="H14">
        <v>776517</v>
      </c>
      <c r="I14">
        <v>586565</v>
      </c>
      <c r="J14">
        <v>398645</v>
      </c>
      <c r="K14">
        <v>308711</v>
      </c>
      <c r="L14">
        <v>276241</v>
      </c>
    </row>
    <row r="15" spans="1:12" x14ac:dyDescent="0.45">
      <c r="A15" t="s">
        <v>69</v>
      </c>
      <c r="B15" t="s">
        <v>38</v>
      </c>
      <c r="C15">
        <v>1486272</v>
      </c>
      <c r="D15">
        <v>1439637</v>
      </c>
      <c r="E15">
        <v>1539861</v>
      </c>
      <c r="F15">
        <v>1740946</v>
      </c>
      <c r="G15">
        <v>1401356</v>
      </c>
      <c r="H15">
        <v>2693256</v>
      </c>
      <c r="I15">
        <v>2902358</v>
      </c>
      <c r="J15">
        <v>3795652</v>
      </c>
      <c r="K15">
        <v>4208640</v>
      </c>
      <c r="L15">
        <v>4037221</v>
      </c>
    </row>
    <row r="16" spans="1:12" x14ac:dyDescent="0.45">
      <c r="A16" t="s">
        <v>70</v>
      </c>
      <c r="B16" t="s">
        <v>44</v>
      </c>
      <c r="C16">
        <v>631718</v>
      </c>
      <c r="D16">
        <v>624929</v>
      </c>
      <c r="E16">
        <v>645608</v>
      </c>
      <c r="F16">
        <v>716121</v>
      </c>
      <c r="G16">
        <v>756469</v>
      </c>
      <c r="H16">
        <v>728632</v>
      </c>
      <c r="I16">
        <v>711962</v>
      </c>
      <c r="J16">
        <v>793647</v>
      </c>
      <c r="K16">
        <v>977482</v>
      </c>
      <c r="L16">
        <v>1005628</v>
      </c>
    </row>
    <row r="17" spans="1:12" x14ac:dyDescent="0.45">
      <c r="A17" t="s">
        <v>71</v>
      </c>
      <c r="B17" t="s">
        <v>45</v>
      </c>
    </row>
    <row r="18" spans="1:12" x14ac:dyDescent="0.45">
      <c r="A18" t="s">
        <v>72</v>
      </c>
      <c r="B18" t="s">
        <v>46</v>
      </c>
      <c r="C18">
        <v>11229</v>
      </c>
      <c r="D18">
        <v>10942</v>
      </c>
      <c r="E18">
        <v>12611</v>
      </c>
      <c r="F18">
        <v>11077</v>
      </c>
      <c r="G18">
        <v>15452</v>
      </c>
      <c r="H18">
        <v>16233</v>
      </c>
      <c r="I18">
        <v>19932</v>
      </c>
      <c r="J18">
        <v>17119</v>
      </c>
      <c r="K18">
        <v>15442</v>
      </c>
      <c r="L18">
        <v>19010</v>
      </c>
    </row>
    <row r="19" spans="1:12" x14ac:dyDescent="0.45">
      <c r="A19" t="s">
        <v>73</v>
      </c>
      <c r="B19" t="s">
        <v>47</v>
      </c>
      <c r="C19">
        <v>3772</v>
      </c>
      <c r="D19">
        <v>3278</v>
      </c>
      <c r="E19">
        <v>4328</v>
      </c>
      <c r="F19">
        <v>4268</v>
      </c>
      <c r="G19">
        <v>4138</v>
      </c>
      <c r="H19">
        <v>1697</v>
      </c>
      <c r="I19">
        <v>1746</v>
      </c>
      <c r="J19">
        <v>5548</v>
      </c>
      <c r="K19">
        <v>6984</v>
      </c>
      <c r="L19">
        <v>4606</v>
      </c>
    </row>
    <row r="20" spans="1:12" x14ac:dyDescent="0.45">
      <c r="A20" t="s">
        <v>74</v>
      </c>
      <c r="B20" t="s">
        <v>48</v>
      </c>
      <c r="C20">
        <v>557661</v>
      </c>
      <c r="D20">
        <v>543232</v>
      </c>
      <c r="E20">
        <v>557210</v>
      </c>
      <c r="F20">
        <v>622414</v>
      </c>
      <c r="G20">
        <v>668597</v>
      </c>
      <c r="H20">
        <v>643671</v>
      </c>
      <c r="I20">
        <v>598485</v>
      </c>
      <c r="J20">
        <v>682080</v>
      </c>
      <c r="K20">
        <v>848042</v>
      </c>
      <c r="L20">
        <v>885998</v>
      </c>
    </row>
    <row r="21" spans="1:12" x14ac:dyDescent="0.45">
      <c r="A21" t="s">
        <v>75</v>
      </c>
      <c r="B21" t="s">
        <v>49</v>
      </c>
      <c r="C21">
        <v>8406</v>
      </c>
      <c r="D21">
        <v>8583</v>
      </c>
      <c r="E21">
        <v>7962</v>
      </c>
      <c r="F21">
        <v>7287</v>
      </c>
      <c r="G21">
        <v>5339</v>
      </c>
      <c r="H21">
        <v>1992</v>
      </c>
      <c r="I21">
        <v>932</v>
      </c>
      <c r="J21">
        <v>1041</v>
      </c>
      <c r="K21">
        <v>1136</v>
      </c>
      <c r="L21">
        <v>1087</v>
      </c>
    </row>
    <row r="22" spans="1:12" x14ac:dyDescent="0.45">
      <c r="A22" t="s">
        <v>76</v>
      </c>
      <c r="B22" t="s">
        <v>50</v>
      </c>
      <c r="C22">
        <v>2360</v>
      </c>
      <c r="D22">
        <v>3230</v>
      </c>
      <c r="E22">
        <v>4961</v>
      </c>
      <c r="F22">
        <v>8165</v>
      </c>
      <c r="G22">
        <v>7623</v>
      </c>
      <c r="H22">
        <v>7730</v>
      </c>
      <c r="I22">
        <v>5279</v>
      </c>
      <c r="J22">
        <v>7427</v>
      </c>
      <c r="K22">
        <v>7721</v>
      </c>
      <c r="L22">
        <v>5759</v>
      </c>
    </row>
    <row r="23" spans="1:12" x14ac:dyDescent="0.45">
      <c r="A23" t="s">
        <v>77</v>
      </c>
      <c r="B23" t="s">
        <v>51</v>
      </c>
      <c r="C23">
        <v>4332</v>
      </c>
      <c r="D23">
        <v>3789</v>
      </c>
      <c r="E23">
        <v>3670</v>
      </c>
      <c r="F23">
        <v>3177</v>
      </c>
      <c r="G23">
        <v>3500</v>
      </c>
      <c r="H23">
        <v>3066</v>
      </c>
      <c r="I23">
        <v>2829</v>
      </c>
      <c r="J23">
        <v>3267</v>
      </c>
      <c r="K23">
        <v>2990</v>
      </c>
      <c r="L23">
        <v>3304</v>
      </c>
    </row>
    <row r="24" spans="1:12" x14ac:dyDescent="0.45">
      <c r="A24" t="s">
        <v>78</v>
      </c>
      <c r="B24" t="s">
        <v>38</v>
      </c>
      <c r="C24">
        <v>43959</v>
      </c>
      <c r="D24">
        <v>51876</v>
      </c>
      <c r="E24">
        <v>54866</v>
      </c>
      <c r="F24">
        <v>59732</v>
      </c>
      <c r="G24">
        <v>51819</v>
      </c>
      <c r="H24">
        <v>54243</v>
      </c>
      <c r="I24">
        <v>82759</v>
      </c>
      <c r="J24">
        <v>77165</v>
      </c>
      <c r="K24">
        <v>95167</v>
      </c>
      <c r="L24">
        <v>85864</v>
      </c>
    </row>
    <row r="25" spans="1:12" x14ac:dyDescent="0.45">
      <c r="A25" t="s">
        <v>79</v>
      </c>
      <c r="B25" t="s">
        <v>41</v>
      </c>
    </row>
    <row r="26" spans="1:12" x14ac:dyDescent="0.45">
      <c r="A26" t="s">
        <v>80</v>
      </c>
      <c r="B26" t="s">
        <v>52</v>
      </c>
      <c r="C26">
        <v>350130</v>
      </c>
      <c r="D26">
        <v>353709</v>
      </c>
      <c r="E26">
        <v>343834</v>
      </c>
      <c r="F26">
        <v>372873</v>
      </c>
      <c r="G26">
        <v>379915</v>
      </c>
      <c r="H26">
        <v>127434</v>
      </c>
      <c r="I26">
        <v>130072</v>
      </c>
      <c r="J26">
        <v>168495</v>
      </c>
      <c r="K26">
        <v>258343</v>
      </c>
      <c r="L26">
        <v>253558</v>
      </c>
    </row>
    <row r="27" spans="1:12" x14ac:dyDescent="0.45">
      <c r="A27" t="s">
        <v>81</v>
      </c>
      <c r="B27" t="s">
        <v>53</v>
      </c>
      <c r="C27">
        <v>60415</v>
      </c>
      <c r="D27">
        <v>90372</v>
      </c>
      <c r="E27">
        <v>50140</v>
      </c>
      <c r="F27">
        <v>73411</v>
      </c>
      <c r="G27">
        <v>98622</v>
      </c>
      <c r="H27">
        <v>104098</v>
      </c>
      <c r="I27">
        <v>159921</v>
      </c>
      <c r="J27">
        <v>97908</v>
      </c>
      <c r="K27">
        <v>177600</v>
      </c>
      <c r="L27">
        <v>115609</v>
      </c>
    </row>
    <row r="28" spans="1:12" x14ac:dyDescent="0.45">
      <c r="A28" t="s">
        <v>82</v>
      </c>
      <c r="B28" t="s">
        <v>54</v>
      </c>
      <c r="C28">
        <v>2765</v>
      </c>
      <c r="D28">
        <v>4768</v>
      </c>
      <c r="E28">
        <v>2500</v>
      </c>
      <c r="F28">
        <v>2969</v>
      </c>
      <c r="G28">
        <v>2589</v>
      </c>
      <c r="H28">
        <v>2582</v>
      </c>
      <c r="I28">
        <v>498</v>
      </c>
      <c r="J28">
        <v>224</v>
      </c>
      <c r="K28">
        <v>90</v>
      </c>
      <c r="L28">
        <v>25</v>
      </c>
    </row>
    <row r="29" spans="1:12" x14ac:dyDescent="0.45">
      <c r="A29" t="s">
        <v>83</v>
      </c>
      <c r="B29" t="s">
        <v>55</v>
      </c>
      <c r="C29">
        <v>7335</v>
      </c>
      <c r="D29">
        <v>123942</v>
      </c>
      <c r="E29">
        <v>111702</v>
      </c>
      <c r="F29">
        <v>57565</v>
      </c>
      <c r="G29">
        <v>53995</v>
      </c>
      <c r="J29">
        <v>26322</v>
      </c>
    </row>
    <row r="30" spans="1:12" x14ac:dyDescent="0.45">
      <c r="A30" t="s">
        <v>84</v>
      </c>
      <c r="B30" t="s">
        <v>56</v>
      </c>
    </row>
    <row r="31" spans="1:12" x14ac:dyDescent="0.45">
      <c r="A31" t="s">
        <v>85</v>
      </c>
      <c r="B31" t="s">
        <v>57</v>
      </c>
      <c r="C31">
        <v>2815767</v>
      </c>
      <c r="D31">
        <v>2767578</v>
      </c>
      <c r="E31">
        <v>2703119</v>
      </c>
      <c r="F31">
        <v>3866808</v>
      </c>
      <c r="G31">
        <v>1677865</v>
      </c>
      <c r="H31">
        <v>1293644</v>
      </c>
      <c r="I31">
        <v>1424798</v>
      </c>
      <c r="J31">
        <v>2647663</v>
      </c>
      <c r="K31">
        <v>2793277</v>
      </c>
      <c r="L31">
        <v>2005589</v>
      </c>
    </row>
    <row r="32" spans="1:12" x14ac:dyDescent="0.45">
      <c r="A32" t="s">
        <v>86</v>
      </c>
      <c r="B32" t="s">
        <v>58</v>
      </c>
      <c r="C32">
        <v>39913181</v>
      </c>
      <c r="D32">
        <v>33813955</v>
      </c>
      <c r="E32">
        <v>20719557</v>
      </c>
      <c r="F32">
        <v>15746501</v>
      </c>
      <c r="G32">
        <v>35012396</v>
      </c>
      <c r="H32">
        <v>103048027</v>
      </c>
      <c r="I32">
        <v>90222508</v>
      </c>
      <c r="J32">
        <v>86478228</v>
      </c>
      <c r="K32">
        <v>55690789</v>
      </c>
      <c r="L32">
        <v>97008237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재정규모</vt:lpstr>
      <vt:lpstr>국세수입</vt:lpstr>
      <vt:lpstr>세외수입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Seungho Jeon</dc:creator>
  <cp:lastModifiedBy>Seungho Jeon</cp:lastModifiedBy>
  <dcterms:created xsi:type="dcterms:W3CDTF">2026-03-13T02:16:12Z</dcterms:created>
  <dcterms:modified xsi:type="dcterms:W3CDTF">2026-03-13T06:55:06Z</dcterms:modified>
</cp:coreProperties>
</file>