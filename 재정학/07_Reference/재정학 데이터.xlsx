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재정학\07_Reference\"/>
    </mc:Choice>
  </mc:AlternateContent>
  <xr:revisionPtr revIDLastSave="0" documentId="13_ncr:1_{9196A6EA-8A76-44D0-B441-0CA364065CF0}" xr6:coauthVersionLast="47" xr6:coauthVersionMax="47" xr10:uidLastSave="{00000000-0000-0000-0000-000000000000}"/>
  <bookViews>
    <workbookView xWindow="-110" yWindow="-110" windowWidth="38620" windowHeight="21100" tabRatio="711" activeTab="9" xr2:uid="{F71892C6-1444-47C4-A64C-0935CCB8F15B}"/>
  </bookViews>
  <sheets>
    <sheet name="재정규모" sheetId="3" r:id="rId1"/>
    <sheet name="국세수입" sheetId="1" r:id="rId2"/>
    <sheet name="세외수입" sheetId="2" r:id="rId3"/>
    <sheet name="기능별 세출실적" sheetId="4" r:id="rId4"/>
    <sheet name="성질별 분류" sheetId="5" r:id="rId5"/>
    <sheet name="국가별 재정지출규모" sheetId="6" r:id="rId6"/>
    <sheet name="공공사회복지 지출 수준 비교" sheetId="7" r:id="rId7"/>
    <sheet name="기능별 세출 (연도별)" sheetId="8" r:id="rId8"/>
    <sheet name="조세부담률 변화 추이" sheetId="9" r:id="rId9"/>
    <sheet name="지방재정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D15" i="9"/>
  <c r="E15" i="9"/>
  <c r="F15" i="9"/>
  <c r="G15" i="9"/>
  <c r="H15" i="9"/>
  <c r="I15" i="9"/>
  <c r="J15" i="9"/>
  <c r="K15" i="9"/>
  <c r="L15" i="9"/>
  <c r="M15" i="9"/>
  <c r="C16" i="9"/>
  <c r="D16" i="9"/>
  <c r="E16" i="9"/>
  <c r="F16" i="9"/>
  <c r="G16" i="9"/>
  <c r="H16" i="9"/>
  <c r="I16" i="9"/>
  <c r="J16" i="9"/>
  <c r="K16" i="9"/>
  <c r="L16" i="9"/>
  <c r="M16" i="9"/>
  <c r="C17" i="9"/>
  <c r="D17" i="9"/>
  <c r="E17" i="9"/>
  <c r="F17" i="9"/>
  <c r="G17" i="9"/>
  <c r="H17" i="9"/>
  <c r="I17" i="9"/>
  <c r="J17" i="9"/>
  <c r="K17" i="9"/>
  <c r="L17" i="9"/>
  <c r="M17" i="9"/>
  <c r="C18" i="9"/>
  <c r="D18" i="9"/>
  <c r="E18" i="9"/>
  <c r="F18" i="9"/>
  <c r="G18" i="9"/>
  <c r="H18" i="9"/>
  <c r="I18" i="9"/>
  <c r="J18" i="9"/>
  <c r="K18" i="9"/>
  <c r="L18" i="9"/>
  <c r="M18" i="9"/>
  <c r="C19" i="9"/>
  <c r="D19" i="9"/>
  <c r="E19" i="9"/>
  <c r="F19" i="9"/>
  <c r="G19" i="9"/>
  <c r="H19" i="9"/>
  <c r="I19" i="9"/>
  <c r="J19" i="9"/>
  <c r="K19" i="9"/>
  <c r="L19" i="9"/>
  <c r="M19" i="9"/>
  <c r="K14" i="9"/>
  <c r="L14" i="9"/>
  <c r="M14" i="9"/>
  <c r="J14" i="9"/>
  <c r="I14" i="9"/>
  <c r="H14" i="9"/>
  <c r="G14" i="9"/>
  <c r="F14" i="9"/>
  <c r="E14" i="9"/>
  <c r="D14" i="9"/>
  <c r="C14" i="9"/>
  <c r="U15" i="8"/>
  <c r="V15" i="8"/>
  <c r="W15" i="8"/>
  <c r="X15" i="8"/>
  <c r="Y15" i="8"/>
  <c r="Z15" i="8"/>
  <c r="U16" i="8"/>
  <c r="V16" i="8"/>
  <c r="W16" i="8"/>
  <c r="X16" i="8"/>
  <c r="Y16" i="8"/>
  <c r="Z16" i="8"/>
  <c r="U17" i="8"/>
  <c r="V17" i="8"/>
  <c r="W17" i="8"/>
  <c r="X17" i="8"/>
  <c r="Y17" i="8"/>
  <c r="Z17" i="8"/>
  <c r="U18" i="8"/>
  <c r="V18" i="8"/>
  <c r="W18" i="8"/>
  <c r="X18" i="8"/>
  <c r="Y18" i="8"/>
  <c r="Z18" i="8"/>
  <c r="U19" i="8"/>
  <c r="V19" i="8"/>
  <c r="W19" i="8"/>
  <c r="X19" i="8"/>
  <c r="Y19" i="8"/>
  <c r="Z19" i="8"/>
  <c r="T19" i="8"/>
  <c r="T18" i="8"/>
  <c r="T17" i="8"/>
  <c r="T16" i="8"/>
  <c r="T15" i="8"/>
  <c r="K15" i="8"/>
  <c r="L15" i="8"/>
  <c r="M15" i="8"/>
  <c r="N15" i="8"/>
  <c r="O15" i="8"/>
  <c r="P15" i="8"/>
  <c r="K16" i="8"/>
  <c r="L16" i="8"/>
  <c r="M16" i="8"/>
  <c r="N16" i="8"/>
  <c r="O16" i="8"/>
  <c r="P16" i="8"/>
  <c r="K17" i="8"/>
  <c r="L17" i="8"/>
  <c r="M17" i="8"/>
  <c r="N17" i="8"/>
  <c r="O17" i="8"/>
  <c r="P17" i="8"/>
  <c r="K18" i="8"/>
  <c r="L18" i="8"/>
  <c r="M18" i="8"/>
  <c r="N18" i="8"/>
  <c r="O18" i="8"/>
  <c r="P18" i="8"/>
  <c r="K19" i="8"/>
  <c r="L19" i="8"/>
  <c r="M19" i="8"/>
  <c r="N19" i="8"/>
  <c r="O19" i="8"/>
  <c r="P19" i="8"/>
  <c r="K20" i="8"/>
  <c r="L20" i="8"/>
  <c r="M20" i="8"/>
  <c r="N20" i="8"/>
  <c r="O20" i="8"/>
  <c r="P20" i="8"/>
  <c r="K21" i="8"/>
  <c r="L21" i="8"/>
  <c r="M21" i="8"/>
  <c r="N21" i="8"/>
  <c r="O21" i="8"/>
  <c r="P21" i="8"/>
  <c r="K22" i="8"/>
  <c r="L22" i="8"/>
  <c r="M22" i="8"/>
  <c r="N22" i="8"/>
  <c r="O22" i="8"/>
  <c r="P22" i="8"/>
  <c r="K23" i="8"/>
  <c r="L23" i="8"/>
  <c r="M23" i="8"/>
  <c r="N23" i="8"/>
  <c r="O23" i="8"/>
  <c r="P23" i="8"/>
  <c r="K24" i="8"/>
  <c r="L24" i="8"/>
  <c r="M24" i="8"/>
  <c r="N24" i="8"/>
  <c r="O24" i="8"/>
  <c r="P24" i="8"/>
  <c r="K25" i="8"/>
  <c r="L25" i="8"/>
  <c r="M25" i="8"/>
  <c r="N25" i="8"/>
  <c r="O25" i="8"/>
  <c r="P25" i="8"/>
  <c r="K26" i="8"/>
  <c r="L26" i="8"/>
  <c r="M26" i="8"/>
  <c r="N26" i="8"/>
  <c r="O26" i="8"/>
  <c r="P26" i="8"/>
  <c r="K27" i="8"/>
  <c r="L27" i="8"/>
  <c r="M27" i="8"/>
  <c r="N27" i="8"/>
  <c r="O27" i="8"/>
  <c r="P27" i="8"/>
  <c r="K28" i="8"/>
  <c r="L28" i="8"/>
  <c r="M28" i="8"/>
  <c r="N28" i="8"/>
  <c r="O28" i="8"/>
  <c r="P28" i="8"/>
  <c r="K29" i="8"/>
  <c r="L29" i="8"/>
  <c r="M29" i="8"/>
  <c r="N29" i="8"/>
  <c r="O29" i="8"/>
  <c r="P29" i="8"/>
  <c r="K30" i="8"/>
  <c r="L30" i="8"/>
  <c r="M30" i="8"/>
  <c r="N30" i="8"/>
  <c r="O30" i="8"/>
  <c r="P30" i="8"/>
  <c r="J30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15" i="8"/>
  <c r="E24" i="6"/>
  <c r="E23" i="6"/>
  <c r="E22" i="6"/>
  <c r="E21" i="6"/>
  <c r="E20" i="6"/>
  <c r="E19" i="6"/>
  <c r="E18" i="6"/>
  <c r="E17" i="6"/>
  <c r="E16" i="6"/>
  <c r="B44" i="5"/>
  <c r="B39" i="5"/>
  <c r="B40" i="5"/>
  <c r="B41" i="5"/>
  <c r="B42" i="5"/>
  <c r="B43" i="5"/>
  <c r="A43" i="5"/>
  <c r="A42" i="5"/>
  <c r="A41" i="5"/>
  <c r="A40" i="5"/>
  <c r="A39" i="5"/>
  <c r="B31" i="4"/>
  <c r="B26" i="4"/>
  <c r="B27" i="4"/>
  <c r="B28" i="4"/>
  <c r="B29" i="4"/>
  <c r="B30" i="4"/>
  <c r="A30" i="4"/>
  <c r="A29" i="4"/>
  <c r="A28" i="4"/>
  <c r="A27" i="4"/>
  <c r="A26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7" i="4"/>
  <c r="C29" i="3"/>
  <c r="D24" i="3"/>
  <c r="E24" i="3"/>
  <c r="F24" i="3"/>
  <c r="G24" i="3"/>
  <c r="H24" i="3"/>
  <c r="I24" i="3"/>
  <c r="J24" i="3"/>
  <c r="K24" i="3"/>
  <c r="L24" i="3"/>
  <c r="D25" i="3"/>
  <c r="E25" i="3"/>
  <c r="F25" i="3"/>
  <c r="G25" i="3"/>
  <c r="H25" i="3"/>
  <c r="I25" i="3"/>
  <c r="J25" i="3"/>
  <c r="K25" i="3"/>
  <c r="L25" i="3"/>
  <c r="D26" i="3"/>
  <c r="E26" i="3"/>
  <c r="F26" i="3"/>
  <c r="G26" i="3"/>
  <c r="H26" i="3"/>
  <c r="I26" i="3"/>
  <c r="J26" i="3"/>
  <c r="K26" i="3"/>
  <c r="L26" i="3"/>
  <c r="D27" i="3"/>
  <c r="E27" i="3"/>
  <c r="F27" i="3"/>
  <c r="G27" i="3"/>
  <c r="H27" i="3"/>
  <c r="I27" i="3"/>
  <c r="J27" i="3"/>
  <c r="K27" i="3"/>
  <c r="L27" i="3"/>
  <c r="D29" i="3"/>
  <c r="E29" i="3"/>
  <c r="F29" i="3"/>
  <c r="G29" i="3"/>
  <c r="H29" i="3"/>
  <c r="I29" i="3"/>
  <c r="J29" i="3"/>
  <c r="K29" i="3"/>
  <c r="L29" i="3"/>
  <c r="C25" i="3"/>
  <c r="C27" i="3"/>
  <c r="C26" i="3"/>
  <c r="C24" i="3"/>
  <c r="Q7" i="1"/>
  <c r="R7" i="1"/>
  <c r="S7" i="1"/>
  <c r="T7" i="1"/>
  <c r="U7" i="1"/>
  <c r="V7" i="1"/>
  <c r="W7" i="1"/>
  <c r="X7" i="1"/>
  <c r="Y7" i="1"/>
  <c r="P7" i="1"/>
  <c r="Q6" i="1"/>
  <c r="R6" i="1"/>
  <c r="R8" i="1" s="1"/>
  <c r="S6" i="1"/>
  <c r="T6" i="1"/>
  <c r="U6" i="1"/>
  <c r="V6" i="1"/>
  <c r="W6" i="1"/>
  <c r="X6" i="1"/>
  <c r="Q5" i="1"/>
  <c r="R5" i="1"/>
  <c r="S5" i="1"/>
  <c r="T5" i="1"/>
  <c r="U5" i="1"/>
  <c r="V5" i="1"/>
  <c r="W5" i="1"/>
  <c r="X5" i="1"/>
  <c r="Y5" i="1"/>
  <c r="P5" i="1"/>
  <c r="Q4" i="1"/>
  <c r="R4" i="1"/>
  <c r="S4" i="1"/>
  <c r="T4" i="1"/>
  <c r="U4" i="1"/>
  <c r="V4" i="1"/>
  <c r="W4" i="1"/>
  <c r="X4" i="1"/>
  <c r="Y4" i="1"/>
  <c r="Y6" i="1" s="1"/>
  <c r="P4" i="1"/>
  <c r="P6" i="1" s="1"/>
  <c r="K28" i="3" l="1"/>
  <c r="C28" i="3"/>
  <c r="E28" i="3"/>
  <c r="L28" i="3"/>
  <c r="J28" i="3"/>
  <c r="I28" i="3"/>
  <c r="H28" i="3"/>
  <c r="G28" i="3"/>
  <c r="F28" i="3"/>
  <c r="D28" i="3"/>
  <c r="T12" i="1"/>
  <c r="R10" i="1"/>
  <c r="R14" i="1"/>
  <c r="R11" i="1"/>
  <c r="P8" i="1"/>
  <c r="Y8" i="1"/>
  <c r="U13" i="1"/>
  <c r="T13" i="1"/>
  <c r="S13" i="1"/>
  <c r="R13" i="1"/>
  <c r="Q13" i="1"/>
  <c r="Y11" i="1"/>
  <c r="U12" i="1"/>
  <c r="R12" i="1"/>
  <c r="X8" i="1"/>
  <c r="W8" i="1"/>
  <c r="W11" i="1" s="1"/>
  <c r="V8" i="1"/>
  <c r="U8" i="1"/>
  <c r="T8" i="1"/>
  <c r="S8" i="1"/>
  <c r="Q8" i="1"/>
  <c r="V10" i="1" l="1"/>
  <c r="V14" i="1"/>
  <c r="X10" i="1"/>
  <c r="X14" i="1"/>
  <c r="W12" i="1"/>
  <c r="Y10" i="1"/>
  <c r="Y14" i="1"/>
  <c r="W10" i="1"/>
  <c r="W14" i="1"/>
  <c r="V12" i="1"/>
  <c r="X12" i="1"/>
  <c r="V11" i="1"/>
  <c r="X11" i="1"/>
  <c r="Y12" i="1"/>
  <c r="V13" i="1"/>
  <c r="P14" i="1"/>
  <c r="P11" i="1"/>
  <c r="P12" i="1"/>
  <c r="W13" i="1"/>
  <c r="X13" i="1"/>
  <c r="Y13" i="1"/>
  <c r="P13" i="1"/>
  <c r="P10" i="1"/>
  <c r="Q10" i="1"/>
  <c r="Q14" i="1"/>
  <c r="Q11" i="1"/>
  <c r="S10" i="1"/>
  <c r="S14" i="1"/>
  <c r="S11" i="1"/>
  <c r="T10" i="1"/>
  <c r="T14" i="1"/>
  <c r="T11" i="1"/>
  <c r="S12" i="1"/>
  <c r="U10" i="1"/>
  <c r="U14" i="1"/>
  <c r="U11" i="1"/>
  <c r="Q12" i="1"/>
</calcChain>
</file>

<file path=xl/sharedStrings.xml><?xml version="1.0" encoding="utf-8"?>
<sst xmlns="http://schemas.openxmlformats.org/spreadsheetml/2006/main" count="548" uniqueCount="464">
  <si>
    <t>내국세</t>
    <phoneticPr fontId="2" type="noConversion"/>
  </si>
  <si>
    <t>관세</t>
    <phoneticPr fontId="2" type="noConversion"/>
  </si>
  <si>
    <t>구분</t>
  </si>
  <si>
    <t>Classification</t>
  </si>
  <si>
    <t>합계</t>
  </si>
  <si>
    <t>Tax Total</t>
  </si>
  <si>
    <t>Internal Taxes</t>
  </si>
  <si>
    <t>Direct Taxes</t>
  </si>
  <si>
    <t>Income Taxes</t>
  </si>
  <si>
    <t>Corporation Tax</t>
  </si>
  <si>
    <t>Inheritance Tax</t>
  </si>
  <si>
    <t>Asset Revaluation Tax</t>
  </si>
  <si>
    <t>Excess Profit Tax</t>
  </si>
  <si>
    <t>Excess Increased Value of Land Tax</t>
  </si>
  <si>
    <t>Indirect Taxes</t>
  </si>
  <si>
    <t>Value Added Tax</t>
  </si>
  <si>
    <t>Special Consumption Tax</t>
  </si>
  <si>
    <t>Liquor Tax</t>
  </si>
  <si>
    <t>Security Transaction Tax</t>
  </si>
  <si>
    <t>Telephone Tax</t>
  </si>
  <si>
    <t>Carry-Over from Previous Year</t>
  </si>
  <si>
    <t>Stamp Tax</t>
  </si>
  <si>
    <t>Customs Duties</t>
  </si>
  <si>
    <t>Defense Tax</t>
  </si>
  <si>
    <t>On Customs Duties</t>
  </si>
  <si>
    <t>On Local Taxes</t>
  </si>
  <si>
    <t>Other Defense Tax Previous Year</t>
  </si>
  <si>
    <t>Transportation-Energy-Environment Tax</t>
  </si>
  <si>
    <t>Other Transportation-Energy-Environment Tax</t>
  </si>
  <si>
    <t>Other Transport Tax</t>
  </si>
  <si>
    <t>Educational Tax</t>
  </si>
  <si>
    <t>Other Educational Tax</t>
  </si>
  <si>
    <t>Comprehensive Real Estate Tax</t>
  </si>
  <si>
    <t>Total</t>
  </si>
  <si>
    <t>Revenues from Gov't Owned Properties</t>
  </si>
  <si>
    <t>Rents from Land &amp; Buildings</t>
  </si>
  <si>
    <t>Dividends &amp; Profits</t>
  </si>
  <si>
    <t>Interest</t>
  </si>
  <si>
    <t>Others</t>
  </si>
  <si>
    <t>Current Transfer</t>
  </si>
  <si>
    <t>Contribution of Pension</t>
  </si>
  <si>
    <t>Fine &amp; Confiscation</t>
  </si>
  <si>
    <t>Indemnities &amp; Penalties</t>
  </si>
  <si>
    <t>Penalties to Delinquency</t>
  </si>
  <si>
    <t>Sales of Goods &amp; Services</t>
  </si>
  <si>
    <t>Rents</t>
  </si>
  <si>
    <t>Hospital Income</t>
  </si>
  <si>
    <t>Admission Fee</t>
  </si>
  <si>
    <t>License &amp; Commission Fee</t>
  </si>
  <si>
    <t>School Entrance &amp; Tuition Fee</t>
  </si>
  <si>
    <t>Revenues from Airport Harbors &amp; Water</t>
  </si>
  <si>
    <t>Revenues from School Experiment</t>
  </si>
  <si>
    <t>Receipts Tied to Expenses</t>
  </si>
  <si>
    <t>Sales Proceeds of Gov't Owned Properties</t>
  </si>
  <si>
    <t>Collection of Loan Principal</t>
  </si>
  <si>
    <t>National Bond &amp; Borrowing</t>
  </si>
  <si>
    <t>Foreign Borrowing</t>
  </si>
  <si>
    <t>Carry Over from Prev. Year</t>
  </si>
  <si>
    <t>Transfer Trust &amp; Collection from Other A/C</t>
  </si>
  <si>
    <t>가. 재산수입</t>
  </si>
  <si>
    <t>(1) 토지및건물대여료</t>
  </si>
  <si>
    <t>(2) 정부출자수입</t>
  </si>
  <si>
    <t>(3) 이자수입</t>
  </si>
  <si>
    <t>(4) 기타재산수입</t>
  </si>
  <si>
    <t>나. 경상이전수입</t>
  </si>
  <si>
    <t>(1) 연금수입</t>
  </si>
  <si>
    <t>(2) 벌금및몰수금</t>
  </si>
  <si>
    <t>(3) 변상금및위약금</t>
  </si>
  <si>
    <t>(4) 가산금</t>
  </si>
  <si>
    <t>(5) 기타경상이전수입</t>
  </si>
  <si>
    <t>다. 재화및용역판매수입</t>
  </si>
  <si>
    <t>(1) 관유물대여료</t>
  </si>
  <si>
    <t>(2) 병원수입</t>
  </si>
  <si>
    <t>(3) 입장료수입</t>
  </si>
  <si>
    <t>(4) 면허료및수수료</t>
  </si>
  <si>
    <t>(5) 입학금및수업료</t>
  </si>
  <si>
    <t>(6) 공항항만및용수수입</t>
  </si>
  <si>
    <t>(7) 실습수입</t>
  </si>
  <si>
    <t>(8) 기타잡수입</t>
  </si>
  <si>
    <t>(9) 벌금및몰수금</t>
  </si>
  <si>
    <t>라. 수입대체경비</t>
  </si>
  <si>
    <t>마. 관유물매각대</t>
  </si>
  <si>
    <t>바. 융자원금회수금</t>
  </si>
  <si>
    <t>사. 국공채및차입금</t>
  </si>
  <si>
    <t>아. 차관수입</t>
  </si>
  <si>
    <t>자. 전년도이월금</t>
  </si>
  <si>
    <t>차. 전입금및기타</t>
  </si>
  <si>
    <t>가. 내국세</t>
  </si>
  <si>
    <t>(1) 직접세</t>
  </si>
  <si>
    <t>① 소득세</t>
  </si>
  <si>
    <t>② 법인세</t>
  </si>
  <si>
    <t>③ 상속세</t>
  </si>
  <si>
    <t>④ 자산재평가세</t>
  </si>
  <si>
    <t>⑤ 부당이득세</t>
  </si>
  <si>
    <t>⑥ 토지초과이득세</t>
  </si>
  <si>
    <t>(2) 간접세</t>
  </si>
  <si>
    <t>⑦ 부가가치세</t>
  </si>
  <si>
    <t>⑧ 특별소비세</t>
  </si>
  <si>
    <t>⑨ 주세</t>
  </si>
  <si>
    <t>⑩ 증권거래세</t>
  </si>
  <si>
    <t>⑪ 전화세</t>
  </si>
  <si>
    <t>(3) 과년도수입</t>
  </si>
  <si>
    <t>(4) 인지세</t>
  </si>
  <si>
    <t>나. 관세</t>
  </si>
  <si>
    <t>(1) 관세</t>
  </si>
  <si>
    <t>(2) 기타관세</t>
  </si>
  <si>
    <t>다. 방위세</t>
  </si>
  <si>
    <t>(1) 방위세</t>
  </si>
  <si>
    <t>(2) 관세분</t>
  </si>
  <si>
    <t>(3) 지방세분</t>
  </si>
  <si>
    <t>(4) 기타방위세</t>
  </si>
  <si>
    <t>라. 교통·에너지·환경세</t>
  </si>
  <si>
    <t>(1) 교통·에너지·환경세</t>
  </si>
  <si>
    <t>(2) 기타교통·에너지·환경세</t>
  </si>
  <si>
    <t>(3) 기타교통세</t>
  </si>
  <si>
    <t>마. 교육세</t>
    <phoneticPr fontId="2" type="noConversion"/>
  </si>
  <si>
    <t>(1) 교육세</t>
    <phoneticPr fontId="2" type="noConversion"/>
  </si>
  <si>
    <t>(2) 기타교육세</t>
    <phoneticPr fontId="2" type="noConversion"/>
  </si>
  <si>
    <t>바. 종합부동산세</t>
    <phoneticPr fontId="2" type="noConversion"/>
  </si>
  <si>
    <t>(1) 종합부동산세</t>
    <phoneticPr fontId="2" type="noConversion"/>
  </si>
  <si>
    <t>PPT</t>
    <phoneticPr fontId="2" type="noConversion"/>
  </si>
  <si>
    <t>총계</t>
    <phoneticPr fontId="2" type="noConversion"/>
  </si>
  <si>
    <t>세외수입</t>
    <phoneticPr fontId="2" type="noConversion"/>
  </si>
  <si>
    <t>공공부문(1+2)</t>
  </si>
  <si>
    <t>Public Sector</t>
  </si>
  <si>
    <t>1. 중앙정부</t>
  </si>
  <si>
    <t>Central Gov't</t>
  </si>
  <si>
    <t>일반회계</t>
  </si>
  <si>
    <t>General Account</t>
  </si>
  <si>
    <t>특별회계</t>
  </si>
  <si>
    <t>Special Account</t>
  </si>
  <si>
    <t>기금</t>
  </si>
  <si>
    <t>Gov't Fund</t>
  </si>
  <si>
    <t>세입세출외</t>
  </si>
  <si>
    <t>Extra-Budget</t>
  </si>
  <si>
    <t>2. 비금융공기업</t>
  </si>
  <si>
    <t>NFPEs</t>
  </si>
  <si>
    <t>기업회계</t>
  </si>
  <si>
    <t>Gov't Enterprise</t>
  </si>
  <si>
    <t>GDP</t>
  </si>
  <si>
    <t>국내총생산에 대한 비율</t>
  </si>
  <si>
    <t>Ratio to GDP</t>
  </si>
  <si>
    <t>공공부문</t>
  </si>
  <si>
    <t>중앙정부</t>
  </si>
  <si>
    <t>국내총생산(명목GDP, 억원)</t>
    <phoneticPr fontId="2" type="noConversion"/>
  </si>
  <si>
    <t>예산</t>
    <phoneticPr fontId="2" type="noConversion"/>
  </si>
  <si>
    <t>일반회계</t>
    <phoneticPr fontId="2" type="noConversion"/>
  </si>
  <si>
    <t>특별회계</t>
    <phoneticPr fontId="2" type="noConversion"/>
  </si>
  <si>
    <t>기금</t>
    <phoneticPr fontId="2" type="noConversion"/>
  </si>
  <si>
    <t>세입세출 외</t>
    <phoneticPr fontId="2" type="noConversion"/>
  </si>
  <si>
    <t>합계</t>
    <phoneticPr fontId="2" type="noConversion"/>
  </si>
  <si>
    <t>GDP대비재정규모</t>
    <phoneticPr fontId="2" type="noConversion"/>
  </si>
  <si>
    <t>출처: 2024회계연도 결산개요 (통계편), 기획재정부</t>
    <phoneticPr fontId="2" type="noConversion"/>
  </si>
  <si>
    <t>연차별 통합재정규모</t>
    <phoneticPr fontId="2" type="noConversion"/>
  </si>
  <si>
    <t>예산현액</t>
  </si>
  <si>
    <t>지출액</t>
  </si>
  <si>
    <t>일반·지방행정</t>
  </si>
  <si>
    <t>공공질서및안전</t>
  </si>
  <si>
    <t>통일·외교</t>
  </si>
  <si>
    <t>국방</t>
  </si>
  <si>
    <t>교육</t>
  </si>
  <si>
    <t>문화및관광</t>
  </si>
  <si>
    <t>환경</t>
  </si>
  <si>
    <t>사회복지</t>
  </si>
  <si>
    <t>보건</t>
  </si>
  <si>
    <t>농림수산</t>
  </si>
  <si>
    <t>산업·중소기업및에너지</t>
  </si>
  <si>
    <t>교통및물류</t>
  </si>
  <si>
    <t>통신</t>
  </si>
  <si>
    <t>국토및지역개발</t>
  </si>
  <si>
    <t>과학기술</t>
  </si>
  <si>
    <t>예비비</t>
  </si>
  <si>
    <t xml:space="preserve">출처: 2024회계연도 결산개요 (통계편), 기획재정부, </t>
    <phoneticPr fontId="2" type="noConversion"/>
  </si>
  <si>
    <t>4) 기능별 세출실적 (16쪽)</t>
    <phoneticPr fontId="2" type="noConversion"/>
  </si>
  <si>
    <t>구성비(%)</t>
  </si>
  <si>
    <t>2023결산</t>
  </si>
  <si>
    <t>예산현액대비증감(A-B)</t>
  </si>
  <si>
    <t>D/A(%)</t>
  </si>
  <si>
    <t>전년대비증감(B-C)</t>
  </si>
  <si>
    <t>E/C(%)</t>
  </si>
  <si>
    <t>지출액 ranking</t>
    <phoneticPr fontId="2" type="noConversion"/>
  </si>
  <si>
    <t>구성비</t>
    <phoneticPr fontId="2" type="noConversion"/>
  </si>
  <si>
    <t>Top5</t>
    <phoneticPr fontId="2" type="noConversion"/>
  </si>
  <si>
    <t>기타</t>
    <phoneticPr fontId="2" type="noConversion"/>
  </si>
  <si>
    <t>2024지출</t>
  </si>
  <si>
    <t>인건비</t>
  </si>
  <si>
    <t>물건비</t>
  </si>
  <si>
    <t>운영비</t>
  </si>
  <si>
    <t>여비</t>
  </si>
  <si>
    <t>특수활동비</t>
  </si>
  <si>
    <t>업무추진비</t>
  </si>
  <si>
    <t>직무수행경비</t>
  </si>
  <si>
    <t>연구용역비</t>
  </si>
  <si>
    <t>안보비</t>
  </si>
  <si>
    <t>정보보안비</t>
  </si>
  <si>
    <t>이전지출</t>
  </si>
  <si>
    <t>보전금</t>
  </si>
  <si>
    <t>민간이전</t>
  </si>
  <si>
    <t>자치단체이전</t>
  </si>
  <si>
    <t>해외이전</t>
  </si>
  <si>
    <t>일반출연금</t>
  </si>
  <si>
    <t>연구개발출연금</t>
  </si>
  <si>
    <t>자산취득</t>
  </si>
  <si>
    <t>건설보상비</t>
  </si>
  <si>
    <t>건설비</t>
  </si>
  <si>
    <t>유형자산</t>
  </si>
  <si>
    <t>무형자산</t>
  </si>
  <si>
    <t>융자금</t>
  </si>
  <si>
    <t>출자금</t>
  </si>
  <si>
    <t>예탁금</t>
  </si>
  <si>
    <t>지분취득비</t>
  </si>
  <si>
    <t>상환지출</t>
  </si>
  <si>
    <t>전출금</t>
  </si>
  <si>
    <t>예비비및기타</t>
  </si>
  <si>
    <t>예산현액대비증감</t>
  </si>
  <si>
    <t>증감률D/A(%)</t>
  </si>
  <si>
    <t>전년대비증감</t>
  </si>
  <si>
    <t>전년대비증가율E/C(%)</t>
  </si>
  <si>
    <t>4) 기능별 세출실적 (18쪽)</t>
    <phoneticPr fontId="2" type="noConversion"/>
  </si>
  <si>
    <t>https://www.openfiscaldata.go.kr/op/ko/ug/UOPKOUGA03?ctzAcctStatsAmtDivCd=SNA02&amp;statsYrFr=2023&amp;statsYrTo=2023&amp;langCd=ko</t>
  </si>
  <si>
    <t>프랑스</t>
    <phoneticPr fontId="2" type="noConversion"/>
  </si>
  <si>
    <t>한국</t>
    <phoneticPr fontId="2" type="noConversion"/>
  </si>
  <si>
    <t>이탈리아</t>
    <phoneticPr fontId="2" type="noConversion"/>
  </si>
  <si>
    <t>미국</t>
    <phoneticPr fontId="2" type="noConversion"/>
  </si>
  <si>
    <t>포르투갈</t>
    <phoneticPr fontId="2" type="noConversion"/>
  </si>
  <si>
    <t>일본</t>
    <phoneticPr fontId="2" type="noConversion"/>
  </si>
  <si>
    <t>영국</t>
    <phoneticPr fontId="2" type="noConversion"/>
  </si>
  <si>
    <t>스웨덴</t>
    <phoneticPr fontId="2" type="noConversion"/>
  </si>
  <si>
    <t>독일</t>
    <phoneticPr fontId="2" type="noConversion"/>
  </si>
  <si>
    <t>https://www.nabo.go.kr/board/file/bulkDown.do?idx=9157&amp;bid=68</t>
    <phoneticPr fontId="2" type="noConversion"/>
  </si>
  <si>
    <t>국회예산정책처, 나보포커스, 제 141호 (2026.03.1) 국제 비교로 본 한국 복지지출 수준과 신규 과제 (안태훈 분석관)</t>
    <phoneticPr fontId="2" type="noConversion"/>
  </si>
  <si>
    <t>세입규모</t>
  </si>
  <si>
    <t>조세</t>
  </si>
  <si>
    <t>내국세</t>
  </si>
  <si>
    <t>관세</t>
  </si>
  <si>
    <t>방위세</t>
  </si>
  <si>
    <t>교통세</t>
  </si>
  <si>
    <t>교육세</t>
  </si>
  <si>
    <t>종합부동산세</t>
  </si>
  <si>
    <t>세외수입</t>
  </si>
  <si>
    <t>차관수입</t>
  </si>
  <si>
    <t>국공채및차입금</t>
  </si>
  <si>
    <t>세출규모</t>
  </si>
  <si>
    <t>일반지방행정</t>
  </si>
  <si>
    <t>통일외교</t>
  </si>
  <si>
    <t>산업중소기업및에너지</t>
  </si>
  <si>
    <t>국방</t>
    <phoneticPr fontId="2" type="noConversion"/>
  </si>
  <si>
    <t>사회복지</t>
    <phoneticPr fontId="2" type="noConversion"/>
  </si>
  <si>
    <t>교육</t>
    <phoneticPr fontId="2" type="noConversion"/>
  </si>
  <si>
    <t>경제</t>
    <phoneticPr fontId="2" type="noConversion"/>
  </si>
  <si>
    <t>* 한국은행 신계열 GDP 기준(2015년에서 2020년으로 기준년 개편)</t>
  </si>
  <si>
    <t>주석:</t>
  </si>
  <si>
    <t>* GDP : 한국은행, 25.6월 발표 국민계정 자료(신계열 기준, 2020년)</t>
  </si>
  <si>
    <t>* 국세, 지방세 실적 : 국세청.관세청「징수보고서」, 행정안전부「지방세 통계연감」</t>
  </si>
  <si>
    <t>출처:</t>
  </si>
  <si>
    <t>114.1</t>
  </si>
  <si>
    <t>112.5</t>
  </si>
  <si>
    <t>118.6</t>
  </si>
  <si>
    <t>112.8</t>
  </si>
  <si>
    <t>102.0</t>
  </si>
  <si>
    <t>90.5</t>
  </si>
  <si>
    <t>84.3</t>
  </si>
  <si>
    <t>80.4</t>
  </si>
  <si>
    <t>75.5</t>
  </si>
  <si>
    <t>71.0</t>
  </si>
  <si>
    <t>61.7</t>
  </si>
  <si>
    <t>53.8</t>
  </si>
  <si>
    <t>53.9</t>
  </si>
  <si>
    <t>52.3</t>
  </si>
  <si>
    <t>49.2</t>
  </si>
  <si>
    <t>45.2</t>
  </si>
  <si>
    <t>45.5</t>
  </si>
  <si>
    <t>43.4</t>
  </si>
  <si>
    <t>41.3</t>
  </si>
  <si>
    <t>36.0</t>
  </si>
  <si>
    <t>34.2</t>
  </si>
  <si>
    <t>33.1</t>
  </si>
  <si>
    <t>31.5</t>
  </si>
  <si>
    <t>26.7</t>
  </si>
  <si>
    <t>20.6</t>
  </si>
  <si>
    <t>18.6</t>
  </si>
  <si>
    <t>17.1</t>
  </si>
  <si>
    <t>18.4</t>
  </si>
  <si>
    <t>17.4</t>
  </si>
  <si>
    <t>15.3</t>
  </si>
  <si>
    <t>13.2</t>
  </si>
  <si>
    <t>11.0</t>
  </si>
  <si>
    <t>9.5</t>
  </si>
  <si>
    <t>8.0</t>
  </si>
  <si>
    <t>6.4</t>
  </si>
  <si>
    <t>지방세</t>
  </si>
  <si>
    <t>336.5</t>
  </si>
  <si>
    <t>344.1</t>
  </si>
  <si>
    <t>395.9</t>
  </si>
  <si>
    <t>285.5</t>
  </si>
  <si>
    <t>293.5</t>
  </si>
  <si>
    <t>293.6</t>
  </si>
  <si>
    <t>265.4</t>
  </si>
  <si>
    <t>242.6</t>
  </si>
  <si>
    <t>217.9</t>
  </si>
  <si>
    <t>205.5</t>
  </si>
  <si>
    <t>201.9</t>
  </si>
  <si>
    <t>203.0</t>
  </si>
  <si>
    <t>192.4</t>
  </si>
  <si>
    <t>177.7</t>
  </si>
  <si>
    <t>164.5</t>
  </si>
  <si>
    <t>167.3</t>
  </si>
  <si>
    <t>161.4</t>
  </si>
  <si>
    <t>138.0</t>
  </si>
  <si>
    <t>127.5</t>
  </si>
  <si>
    <t>117.8</t>
  </si>
  <si>
    <t>114.7</t>
  </si>
  <si>
    <t>104.0</t>
  </si>
  <si>
    <t>95.8</t>
  </si>
  <si>
    <t>92.9</t>
  </si>
  <si>
    <t>75.7</t>
  </si>
  <si>
    <t>67.8</t>
  </si>
  <si>
    <t>69.9</t>
  </si>
  <si>
    <t>65.0</t>
  </si>
  <si>
    <t>56.8</t>
  </si>
  <si>
    <t>47.3</t>
  </si>
  <si>
    <t>39.3</t>
  </si>
  <si>
    <t>35.2</t>
  </si>
  <si>
    <t>30.3</t>
  </si>
  <si>
    <t>26.8</t>
  </si>
  <si>
    <t>국세</t>
  </si>
  <si>
    <t>17.6</t>
  </si>
  <si>
    <t>19.0</t>
  </si>
  <si>
    <t>22.1</t>
  </si>
  <si>
    <t>18.8</t>
  </si>
  <si>
    <t>17.9</t>
  </si>
  <si>
    <t>16.6</t>
  </si>
  <si>
    <t>16.3</t>
  </si>
  <si>
    <t>16.9</t>
  </si>
  <si>
    <t>16.4</t>
  </si>
  <si>
    <t>16.7</t>
  </si>
  <si>
    <t>17.7</t>
  </si>
  <si>
    <t>18.1</t>
  </si>
  <si>
    <t>17.2</t>
  </si>
  <si>
    <t>16.1</t>
  </si>
  <si>
    <t>17.0</t>
  </si>
  <si>
    <t>16.8</t>
  </si>
  <si>
    <t>15.4</t>
  </si>
  <si>
    <t>15.8</t>
  </si>
  <si>
    <t>16.2</t>
  </si>
  <si>
    <t>15.9</t>
  </si>
  <si>
    <t>15.7</t>
  </si>
  <si>
    <t>15.6</t>
  </si>
  <si>
    <t>(조세부담률,%)</t>
  </si>
  <si>
    <t>450.6</t>
  </si>
  <si>
    <t>456.5</t>
  </si>
  <si>
    <t>514.5</t>
  </si>
  <si>
    <t>456.9</t>
  </si>
  <si>
    <t>387.6</t>
  </si>
  <si>
    <t>383.9</t>
  </si>
  <si>
    <t>377.9</t>
  </si>
  <si>
    <t>345.8</t>
  </si>
  <si>
    <t>318.1</t>
  </si>
  <si>
    <t>288.9</t>
  </si>
  <si>
    <t>267.2</t>
  </si>
  <si>
    <t>255.7</t>
  </si>
  <si>
    <t>257.0</t>
  </si>
  <si>
    <t>244.7</t>
  </si>
  <si>
    <t>226.9</t>
  </si>
  <si>
    <t>209.7</t>
  </si>
  <si>
    <t>212.8</t>
  </si>
  <si>
    <t>205.0</t>
  </si>
  <si>
    <t>179.3</t>
  </si>
  <si>
    <t>163.4</t>
  </si>
  <si>
    <t>152.0</t>
  </si>
  <si>
    <t>147.8</t>
  </si>
  <si>
    <t>135.5</t>
  </si>
  <si>
    <t>122.5</t>
  </si>
  <si>
    <t>113.5</t>
  </si>
  <si>
    <t>94.2</t>
  </si>
  <si>
    <t>84.9</t>
  </si>
  <si>
    <t>88.3</t>
  </si>
  <si>
    <t>82.4</t>
  </si>
  <si>
    <t>72.1</t>
  </si>
  <si>
    <t>60.5</t>
  </si>
  <si>
    <t>50.3</t>
  </si>
  <si>
    <t>44.7</t>
  </si>
  <si>
    <t>38.4</t>
  </si>
  <si>
    <t>33.2</t>
  </si>
  <si>
    <t>계</t>
  </si>
  <si>
    <t>2,556.9</t>
  </si>
  <si>
    <t>2,408.7</t>
  </si>
  <si>
    <t>2,323.8</t>
  </si>
  <si>
    <t>2,221.9</t>
  </si>
  <si>
    <t>2,058.5</t>
  </si>
  <si>
    <t>2,040.6</t>
  </si>
  <si>
    <t>2,007.0</t>
  </si>
  <si>
    <t>1,934.2</t>
  </si>
  <si>
    <t>1,833.0</t>
  </si>
  <si>
    <t>1,740.8</t>
  </si>
  <si>
    <t>1,638.5</t>
  </si>
  <si>
    <t>1,570.9</t>
  </si>
  <si>
    <t>1,504.7</t>
  </si>
  <si>
    <t>1,448.6</t>
  </si>
  <si>
    <t>1,379.5</t>
  </si>
  <si>
    <t>1,255.3</t>
  </si>
  <si>
    <t>1,203.0</t>
  </si>
  <si>
    <t>1,134.5</t>
  </si>
  <si>
    <t>1,045.7</t>
  </si>
  <si>
    <t>995.2</t>
  </si>
  <si>
    <t>942.9</t>
  </si>
  <si>
    <t>868.1</t>
  </si>
  <si>
    <t>813.2</t>
  </si>
  <si>
    <t>732.7</t>
  </si>
  <si>
    <t>675.7</t>
  </si>
  <si>
    <t>613.1</t>
  </si>
  <si>
    <t>556.8</t>
  </si>
  <si>
    <t>560.5</t>
  </si>
  <si>
    <t>507.8</t>
  </si>
  <si>
    <t>452.2</t>
  </si>
  <si>
    <t>385.0</t>
  </si>
  <si>
    <t>325.6</t>
  </si>
  <si>
    <t>286.4</t>
  </si>
  <si>
    <t>250.0</t>
  </si>
  <si>
    <t>206.7</t>
  </si>
  <si>
    <t>경상GDP</t>
  </si>
  <si>
    <t>2024 p)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</si>
  <si>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</si>
  <si>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</si>
  <si>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</si>
  <si>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</si>
  <si>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</si>
  <si>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</si>
  <si>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</si>
  <si>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</si>
  <si>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</si>
  <si>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</si>
  <si>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</si>
  <si>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</si>
  <si>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</si>
  <si>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</si>
  <si>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</si>
  <si>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</si>
  <si>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</si>
  <si>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</si>
  <si>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</si>
  <si>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</si>
  <si>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</si>
  <si>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</si>
  <si>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</si>
  <si>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</si>
  <si>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</si>
  <si>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</si>
  <si>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</si>
  <si>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</si>
  <si>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</si>
  <si>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</si>
  <si>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</si>
  <si>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</si>
  <si>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</si>
  <si>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</si>
  <si>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/>
  </si>
  <si>
    <t>조원</t>
  </si>
  <si>
    <t>단위:</t>
  </si>
  <si>
    <t>조세부담률</t>
  </si>
  <si>
    <t>통계표명:</t>
  </si>
  <si>
    <t>https://www.index.go.kr/unity/potal/main/EachDtlPageDetail.do?idx_cd=1122</t>
    <phoneticPr fontId="2" type="noConversion"/>
  </si>
  <si>
    <t>https://www.lofin365.go.kr/portal/LF6100000.do?ntcaClsDvCd=FSL406&amp;dtsSnum=655418&amp;curPage=1</t>
  </si>
  <si>
    <t>https://www.data.go.kr/data/15038802/fileData.do?recommendDataYn=Y#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</si>
</sst>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1" applyNumberFormat="1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3" fillId="0" borderId="0" xfId="2">
      <alignment vertical="center"/>
    </xf>
    <xf numFmtId="9" fontId="0" fillId="0" borderId="0" xfId="1" applyFont="1">
      <alignment vertical="center"/>
    </xf>
    <xf numFmtId="0" fontId="0" fillId="2" borderId="0" xfId="0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B03-40C0-89EA-7B15557B0A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03-40C0-89EA-7B15557B0A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03-40C0-89EA-7B15557B0A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fld id="{CC91ED26-C3E2-44FA-8E43-C3E5D3023EF4}" type="CATEGORYNAME">
                      <a:rPr lang="ko-KR" altLang="en-US">
                        <a:solidFill>
                          <a:schemeClr val="bg1"/>
                        </a:solidFill>
                      </a:rPr>
                      <a:pPr/>
                      <a:t>[범주 이름]</a:t>
                    </a:fld>
                    <a:r>
                      <a:rPr lang="en-US" altLang="ko-KR" baseline="0">
                        <a:solidFill>
                          <a:schemeClr val="bg1"/>
                        </a:solidFill>
                      </a:rPr>
                      <a:t>, </a:t>
                    </a:r>
                    <a:fld id="{7E9329CC-9D5C-4F02-A06D-91D4B36056FA}" type="VALUE">
                      <a:rPr lang="en-US" altLang="ko-KR" baseline="0">
                        <a:solidFill>
                          <a:schemeClr val="bg1"/>
                        </a:solidFill>
                      </a:rPr>
                      <a:pPr/>
                      <a:t>[값]</a:t>
                    </a:fld>
                    <a:endParaRPr lang="en-US" altLang="ko-KR" baseline="0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B03-40C0-89EA-7B15557B0A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8F98B1-73F0-497B-9BB0-D8F927A69267}" type="CATEGORYNAME">
                      <a:rPr lang="ko-KR" altLang="en-US">
                        <a:solidFill>
                          <a:schemeClr val="bg1"/>
                        </a:solidFill>
                      </a:rPr>
                      <a:pPr/>
                      <a:t>[범주 이름]</a:t>
                    </a:fld>
                    <a:r>
                      <a:rPr lang="en-US" altLang="ko-KR" baseline="0">
                        <a:solidFill>
                          <a:schemeClr val="bg1"/>
                        </a:solidFill>
                      </a:rPr>
                      <a:t>, </a:t>
                    </a:r>
                    <a:fld id="{0D46DEBA-3899-4DBF-B15F-9FDD371F5F15}" type="VALUE">
                      <a:rPr lang="en-US" altLang="ko-KR" baseline="0">
                        <a:solidFill>
                          <a:schemeClr val="bg1"/>
                        </a:solidFill>
                      </a:rPr>
                      <a:pPr/>
                      <a:t>[값]</a:t>
                    </a:fld>
                    <a:endParaRPr lang="en-US" altLang="ko-KR" baseline="0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B03-40C0-89EA-7B15557B0A54}"/>
                </c:ext>
              </c:extLst>
            </c:dLbl>
            <c:dLbl>
              <c:idx val="4"/>
              <c:layout>
                <c:manualLayout>
                  <c:x val="8.9531935117327474E-2"/>
                  <c:y val="-3.98554929908535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03-40C0-89EA-7B15557B0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'기능별 세출실적'!$A$26:$A$31</c:f>
              <c:strCache>
                <c:ptCount val="6"/>
                <c:pt idx="0">
                  <c:v>교육</c:v>
                </c:pt>
                <c:pt idx="1">
                  <c:v>일반·지방행정</c:v>
                </c:pt>
                <c:pt idx="2">
                  <c:v>사회복지</c:v>
                </c:pt>
                <c:pt idx="3">
                  <c:v>국방</c:v>
                </c:pt>
                <c:pt idx="4">
                  <c:v>교통및물류</c:v>
                </c:pt>
                <c:pt idx="5">
                  <c:v>기타</c:v>
                </c:pt>
              </c:strCache>
            </c:strRef>
          </c:cat>
          <c:val>
            <c:numRef>
              <c:f>'기능별 세출실적'!$B$26:$B$31</c:f>
              <c:numCache>
                <c:formatCode>General</c:formatCode>
                <c:ptCount val="6"/>
                <c:pt idx="0">
                  <c:v>19.899999999999999</c:v>
                </c:pt>
                <c:pt idx="1">
                  <c:v>19.2</c:v>
                </c:pt>
                <c:pt idx="2">
                  <c:v>16</c:v>
                </c:pt>
                <c:pt idx="3">
                  <c:v>11.3</c:v>
                </c:pt>
                <c:pt idx="4">
                  <c:v>6.3</c:v>
                </c:pt>
                <c:pt idx="5">
                  <c:v>27.300000000000011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3-40C0-89EA-7B15557B0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F0-4C54-8C7B-3656477266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F0-4C54-8C7B-3656477266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F0-4C54-8C7B-3656477266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F0-4C54-8C7B-3656477266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F0-4C54-8C7B-3656477266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F0-4C54-8C7B-365647726614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FCAD7AC-CA8F-4C15-863C-02C0D4A80463}" type="CATEGORYNAME">
                      <a:rPr lang="ko-KR" altLang="en-US">
                        <a:solidFill>
                          <a:schemeClr val="bg1"/>
                        </a:solidFill>
                      </a:rPr>
                      <a:pPr>
                        <a:defRPr sz="1050">
                          <a:solidFill>
                            <a:schemeClr val="bg1"/>
                          </a:solidFill>
                        </a:defRPr>
                      </a:pPr>
                      <a:t>[범주 이름]</a:t>
                    </a:fld>
                    <a:r>
                      <a:rPr lang="en-US" altLang="ko-KR" baseline="0">
                        <a:solidFill>
                          <a:schemeClr val="bg1"/>
                        </a:solidFill>
                      </a:rPr>
                      <a:t>, </a:t>
                    </a:r>
                    <a:fld id="{69A968D7-4A08-47C2-93A9-F2CC394940B3}" type="VALUE">
                      <a:rPr lang="en-US" altLang="ko-KR" baseline="0">
                        <a:solidFill>
                          <a:schemeClr val="bg1"/>
                        </a:solidFill>
                      </a:rPr>
                      <a:pPr>
                        <a:defRPr sz="1050">
                          <a:solidFill>
                            <a:schemeClr val="bg1"/>
                          </a:solidFill>
                        </a:defRPr>
                      </a:pPr>
                      <a:t>[값]</a:t>
                    </a:fld>
                    <a:endParaRPr lang="en-US" altLang="ko-KR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DF0-4C54-8C7B-365647726614}"/>
                </c:ext>
              </c:extLst>
            </c:dLbl>
            <c:dLbl>
              <c:idx val="2"/>
              <c:layout>
                <c:manualLayout>
                  <c:x val="0.16561953193350831"/>
                  <c:y val="6.25033187248822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F0-4C54-8C7B-3656477266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'성질별 분류'!$A$39:$A$44</c:f>
              <c:strCache>
                <c:ptCount val="6"/>
                <c:pt idx="0">
                  <c:v>이전지출</c:v>
                </c:pt>
                <c:pt idx="1">
                  <c:v>전출금</c:v>
                </c:pt>
                <c:pt idx="2">
                  <c:v>인건비</c:v>
                </c:pt>
                <c:pt idx="3">
                  <c:v>자산취득</c:v>
                </c:pt>
                <c:pt idx="4">
                  <c:v>물건비</c:v>
                </c:pt>
                <c:pt idx="5">
                  <c:v>기타</c:v>
                </c:pt>
              </c:strCache>
            </c:strRef>
          </c:cat>
          <c:val>
            <c:numRef>
              <c:f>'성질별 분류'!$B$39:$B$44</c:f>
              <c:numCache>
                <c:formatCode>General</c:formatCode>
                <c:ptCount val="6"/>
                <c:pt idx="0">
                  <c:v>57.9</c:v>
                </c:pt>
                <c:pt idx="1">
                  <c:v>16</c:v>
                </c:pt>
                <c:pt idx="2">
                  <c:v>8.9</c:v>
                </c:pt>
                <c:pt idx="3">
                  <c:v>7.5</c:v>
                </c:pt>
                <c:pt idx="4">
                  <c:v>5.6</c:v>
                </c:pt>
                <c:pt idx="5">
                  <c:v>4.0999999999999943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F0-4C54-8C7B-36564772661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627984</xdr:colOff>
      <xdr:row>23</xdr:row>
      <xdr:rowOff>180975</xdr:rowOff>
    </xdr:from>
    <xdr:to>
      <xdr:col>7</xdr:col>
      <xdr:colOff>570834</xdr:colOff>
      <xdr:row>36</xdr:row>
      <xdr:rowOff>76200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FD39D08-2933-FDFA-336D-816281910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35</xdr:row>
      <xdr:rowOff>133350</xdr:rowOff>
    </xdr:from>
    <xdr:to>
      <xdr:col>7</xdr:col>
      <xdr:colOff>771525</xdr:colOff>
      <xdr:row>48</xdr:row>
      <xdr:rowOff>34925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8260DAC-A6E8-4C10-89D9-69A0E4E9A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</xdr:row>
      <xdr:rowOff>172908</xdr:rowOff>
    </xdr:from>
    <xdr:to>
      <xdr:col>7</xdr:col>
      <xdr:colOff>329399</xdr:colOff>
      <xdr:row>24</xdr:row>
      <xdr:rowOff>152400</xdr:rowOff>
    </xdr:to>
    <xdr:pic>
      <xdr:nvPicPr>
        <xdr:cNvPr id="2" name="그림 1" descr="텍스트, 스크린샷, 라인, 평행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8BE44877-4AB4-4AD8-3612-E58BC771F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487358"/>
          <a:ext cx="4701374" cy="39228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KTOP\Desktop\Teaching\&#51116;&#51221;&#54617;\&#51116;&#51221;&#54617;%20&#44536;&#47000;&#54532;.xlsx" TargetMode="External"/><Relationship Id="rId1" Type="http://schemas.openxmlformats.org/officeDocument/2006/relationships/externalLinkPath" Target="/Users/DESKTOP/Desktop/Teaching/&#51116;&#51221;&#54617;/&#51116;&#51221;&#54617;%20&#44536;&#47000;&#545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43p 그림2-3"/>
    </sheetNames>
    <sheetDataSet>
      <sheetData sheetId="0">
        <row r="5">
          <cell r="B5" t="str">
            <v>기능별 분류</v>
          </cell>
          <cell r="C5">
            <v>20.7</v>
          </cell>
          <cell r="D5">
            <v>5.5</v>
          </cell>
          <cell r="E5">
            <v>14.1</v>
          </cell>
          <cell r="F5">
            <v>20.3</v>
          </cell>
          <cell r="G5">
            <v>17.5</v>
          </cell>
          <cell r="H5">
            <v>5</v>
          </cell>
          <cell r="I5">
            <v>16.899999999999999</v>
          </cell>
        </row>
        <row r="24">
          <cell r="F24" t="str">
            <v>한국</v>
          </cell>
          <cell r="G24">
            <v>35.159999999999997</v>
          </cell>
        </row>
        <row r="25">
          <cell r="F25" t="str">
            <v>미국</v>
          </cell>
          <cell r="G25">
            <v>39.130000000000003</v>
          </cell>
        </row>
        <row r="26">
          <cell r="F26" t="str">
            <v>일본</v>
          </cell>
          <cell r="G26">
            <v>40.6</v>
          </cell>
        </row>
        <row r="27">
          <cell r="F27" t="str">
            <v>포르투갈</v>
          </cell>
          <cell r="G27">
            <v>42.31</v>
          </cell>
        </row>
        <row r="28">
          <cell r="F28" t="str">
            <v>영국</v>
          </cell>
          <cell r="G28">
            <v>47.13</v>
          </cell>
        </row>
        <row r="29">
          <cell r="F29" t="str">
            <v>독일</v>
          </cell>
          <cell r="G29">
            <v>48.38</v>
          </cell>
        </row>
        <row r="30">
          <cell r="F30" t="str">
            <v>스웨덴</v>
          </cell>
          <cell r="G30">
            <v>49.36</v>
          </cell>
        </row>
        <row r="31">
          <cell r="F31" t="str">
            <v>이탈리아</v>
          </cell>
          <cell r="G31">
            <v>53.95</v>
          </cell>
        </row>
        <row r="32">
          <cell r="F32" t="str">
            <v>프랑스</v>
          </cell>
          <cell r="G32">
            <v>56.95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nabo.go.kr/board/file/bulkDown.do?idx=9157&amp;bid=6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ex.go.kr/unity/potal/main/EachDtlPageDetail.do?idx_cd=1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4C9F-62EA-427F-979F-968137B35ED7}">
  <dimension ref="A1:N29"/>
  <sheetViews>
    <sheetView workbookViewId="0">
      <selection activeCell="D17" sqref="D17"/>
    </sheetView>
  </sheetViews>
  <sheetFormatPr defaultRowHeight="17" x14ac:dyDescent="0.45"/>
  <cols>
    <col min="1" max="1" width="47.33203125" bestFit="1" customWidth="1"/>
    <col min="2" max="2" width="15.33203125" bestFit="1" customWidth="1"/>
    <col min="3" max="14" width="10.1640625" bestFit="1" customWidth="1"/>
  </cols>
  <sheetData>
    <row r="1" spans="1:14" x14ac:dyDescent="0.45">
      <c r="A1" t="s">
        <v>152</v>
      </c>
    </row>
    <row r="2" spans="1:14" x14ac:dyDescent="0.45">
      <c r="A2" t="s">
        <v>153</v>
      </c>
    </row>
    <row r="3" spans="1:14" x14ac:dyDescent="0.45">
      <c r="A3" t="s">
        <v>2</v>
      </c>
      <c r="B3" t="s">
        <v>3</v>
      </c>
      <c r="C3">
        <v>2013</v>
      </c>
      <c r="D3">
        <v>2014</v>
      </c>
      <c r="E3">
        <v>2015</v>
      </c>
      <c r="F3">
        <v>2016</v>
      </c>
      <c r="G3">
        <v>2017</v>
      </c>
      <c r="H3">
        <v>2018</v>
      </c>
      <c r="I3">
        <v>2019</v>
      </c>
      <c r="J3">
        <v>2020</v>
      </c>
      <c r="K3">
        <v>2021</v>
      </c>
      <c r="L3">
        <v>2022</v>
      </c>
      <c r="M3">
        <v>2023</v>
      </c>
      <c r="N3">
        <v>2024</v>
      </c>
    </row>
    <row r="4" spans="1:14" x14ac:dyDescent="0.45">
      <c r="A4" t="s">
        <v>123</v>
      </c>
      <c r="B4" t="s">
        <v>124</v>
      </c>
      <c r="C4">
        <v>300237564</v>
      </c>
      <c r="D4">
        <v>312394133</v>
      </c>
      <c r="E4">
        <v>339351017</v>
      </c>
      <c r="F4">
        <v>354353560</v>
      </c>
      <c r="G4">
        <v>379809244</v>
      </c>
      <c r="H4">
        <v>407098761</v>
      </c>
      <c r="I4">
        <v>455849573</v>
      </c>
      <c r="J4">
        <v>517781119</v>
      </c>
      <c r="K4">
        <v>568112758</v>
      </c>
      <c r="L4">
        <v>652902345</v>
      </c>
      <c r="M4">
        <v>580354414</v>
      </c>
      <c r="N4">
        <v>603608529</v>
      </c>
    </row>
    <row r="5" spans="1:14" x14ac:dyDescent="0.45">
      <c r="A5" s="4" t="s">
        <v>125</v>
      </c>
      <c r="B5" t="s">
        <v>126</v>
      </c>
      <c r="C5">
        <v>296556584</v>
      </c>
      <c r="D5">
        <v>308980270</v>
      </c>
      <c r="E5">
        <v>336244037</v>
      </c>
      <c r="F5">
        <v>351546478</v>
      </c>
      <c r="G5">
        <v>376852563</v>
      </c>
      <c r="H5">
        <v>404491997</v>
      </c>
      <c r="I5">
        <v>452093975</v>
      </c>
      <c r="J5">
        <v>513462818</v>
      </c>
      <c r="K5">
        <v>565035470</v>
      </c>
      <c r="L5">
        <v>648857760</v>
      </c>
      <c r="M5">
        <v>575274127</v>
      </c>
      <c r="N5">
        <v>597525941</v>
      </c>
    </row>
    <row r="6" spans="1:14" x14ac:dyDescent="0.45">
      <c r="A6" s="5" t="s">
        <v>127</v>
      </c>
      <c r="B6" t="s">
        <v>128</v>
      </c>
      <c r="C6">
        <v>191630847</v>
      </c>
      <c r="D6">
        <v>197379297</v>
      </c>
      <c r="E6">
        <v>205967651</v>
      </c>
      <c r="F6">
        <v>216929584</v>
      </c>
      <c r="G6">
        <v>225520099</v>
      </c>
      <c r="H6">
        <v>246425117</v>
      </c>
      <c r="I6">
        <v>277654704</v>
      </c>
      <c r="J6">
        <v>320760411</v>
      </c>
      <c r="K6">
        <v>339739951</v>
      </c>
      <c r="L6">
        <v>379872493</v>
      </c>
      <c r="M6">
        <v>343496722</v>
      </c>
      <c r="N6">
        <v>344518516</v>
      </c>
    </row>
    <row r="7" spans="1:14" x14ac:dyDescent="0.45">
      <c r="A7" s="5" t="s">
        <v>129</v>
      </c>
      <c r="B7" t="s">
        <v>130</v>
      </c>
      <c r="C7">
        <v>36652457</v>
      </c>
      <c r="D7">
        <v>36282746</v>
      </c>
      <c r="E7">
        <v>42043818</v>
      </c>
      <c r="F7">
        <v>39414738</v>
      </c>
      <c r="G7">
        <v>41542314</v>
      </c>
      <c r="H7">
        <v>39057169</v>
      </c>
      <c r="I7">
        <v>42324675</v>
      </c>
      <c r="J7">
        <v>44424545</v>
      </c>
      <c r="K7">
        <v>50221728</v>
      </c>
      <c r="L7">
        <v>50564453</v>
      </c>
      <c r="M7">
        <v>59552482</v>
      </c>
      <c r="N7">
        <v>67364188</v>
      </c>
    </row>
    <row r="8" spans="1:14" x14ac:dyDescent="0.45">
      <c r="A8" s="5" t="s">
        <v>131</v>
      </c>
      <c r="B8" t="s">
        <v>132</v>
      </c>
      <c r="C8">
        <v>67938582</v>
      </c>
      <c r="D8">
        <v>75137509</v>
      </c>
      <c r="E8">
        <v>88042483</v>
      </c>
      <c r="F8">
        <v>94932880</v>
      </c>
      <c r="G8">
        <v>105753891</v>
      </c>
      <c r="H8">
        <v>112407351</v>
      </c>
      <c r="I8">
        <v>120955624</v>
      </c>
      <c r="J8">
        <v>147879359</v>
      </c>
      <c r="K8">
        <v>172510077</v>
      </c>
      <c r="L8">
        <v>206816084</v>
      </c>
      <c r="M8">
        <v>171197594</v>
      </c>
      <c r="N8">
        <v>185223570</v>
      </c>
    </row>
    <row r="9" spans="1:14" x14ac:dyDescent="0.45">
      <c r="A9" s="5" t="s">
        <v>133</v>
      </c>
      <c r="B9" t="s">
        <v>134</v>
      </c>
      <c r="C9">
        <v>334699</v>
      </c>
      <c r="D9">
        <v>180718</v>
      </c>
      <c r="E9">
        <v>190085</v>
      </c>
      <c r="F9">
        <v>269276</v>
      </c>
      <c r="G9">
        <v>4036259</v>
      </c>
      <c r="H9">
        <v>6602361</v>
      </c>
      <c r="I9">
        <v>11158971</v>
      </c>
      <c r="J9">
        <v>398504</v>
      </c>
      <c r="K9">
        <v>2563714</v>
      </c>
      <c r="L9">
        <v>11604731</v>
      </c>
      <c r="M9">
        <v>1027328</v>
      </c>
      <c r="N9">
        <v>419667</v>
      </c>
    </row>
    <row r="10" spans="1:14" x14ac:dyDescent="0.45">
      <c r="A10" s="4" t="s">
        <v>135</v>
      </c>
      <c r="B10" t="s">
        <v>136</v>
      </c>
      <c r="C10">
        <v>3680980</v>
      </c>
      <c r="D10">
        <v>3413863</v>
      </c>
      <c r="E10">
        <v>3106980</v>
      </c>
      <c r="F10">
        <v>2807082</v>
      </c>
      <c r="G10">
        <v>2956681</v>
      </c>
      <c r="H10">
        <v>2606764</v>
      </c>
      <c r="I10">
        <v>3755598</v>
      </c>
      <c r="J10">
        <v>4318300</v>
      </c>
      <c r="K10">
        <v>3077288</v>
      </c>
      <c r="L10">
        <v>4044584</v>
      </c>
      <c r="M10">
        <v>5080287</v>
      </c>
      <c r="N10">
        <v>6082588</v>
      </c>
    </row>
    <row r="11" spans="1:14" x14ac:dyDescent="0.45">
      <c r="A11" s="5" t="s">
        <v>137</v>
      </c>
      <c r="B11" t="s">
        <v>138</v>
      </c>
      <c r="C11">
        <v>3680980</v>
      </c>
      <c r="D11">
        <v>3413863</v>
      </c>
      <c r="E11">
        <v>3106980</v>
      </c>
      <c r="F11">
        <v>2807082</v>
      </c>
      <c r="G11">
        <v>2956681</v>
      </c>
      <c r="H11">
        <v>2606764</v>
      </c>
      <c r="I11">
        <v>3755598</v>
      </c>
      <c r="J11">
        <v>4318300</v>
      </c>
      <c r="K11">
        <v>3077288</v>
      </c>
      <c r="L11">
        <v>4044584</v>
      </c>
      <c r="M11">
        <v>5080287</v>
      </c>
      <c r="N11">
        <v>6082588</v>
      </c>
    </row>
    <row r="12" spans="1:14" x14ac:dyDescent="0.45">
      <c r="A12" s="5" t="s">
        <v>131</v>
      </c>
      <c r="B12" t="s">
        <v>132</v>
      </c>
    </row>
    <row r="13" spans="1:14" x14ac:dyDescent="0.45">
      <c r="A13" t="s">
        <v>144</v>
      </c>
      <c r="B13" t="s">
        <v>139</v>
      </c>
      <c r="C13">
        <v>15008191</v>
      </c>
      <c r="D13">
        <v>15629289</v>
      </c>
      <c r="E13">
        <v>16580204</v>
      </c>
      <c r="F13">
        <v>17407796</v>
      </c>
      <c r="G13">
        <v>18356982</v>
      </c>
      <c r="H13">
        <v>18981926</v>
      </c>
      <c r="I13">
        <v>19244981</v>
      </c>
      <c r="J13">
        <v>19331524</v>
      </c>
      <c r="K13">
        <v>22219129</v>
      </c>
      <c r="L13">
        <v>23237815</v>
      </c>
      <c r="M13">
        <v>24011894</v>
      </c>
      <c r="N13">
        <v>25491207</v>
      </c>
    </row>
    <row r="14" spans="1:14" x14ac:dyDescent="0.45">
      <c r="A14" t="s">
        <v>140</v>
      </c>
      <c r="B14" t="s">
        <v>141</v>
      </c>
    </row>
    <row r="15" spans="1:14" x14ac:dyDescent="0.45">
      <c r="A15" s="4" t="s">
        <v>142</v>
      </c>
      <c r="B15" t="s">
        <v>124</v>
      </c>
      <c r="C15">
        <v>20</v>
      </c>
      <c r="D15">
        <v>20</v>
      </c>
      <c r="E15">
        <v>20.5</v>
      </c>
      <c r="F15">
        <v>20.399999999999999</v>
      </c>
      <c r="G15">
        <v>20.7</v>
      </c>
      <c r="H15">
        <v>21.4</v>
      </c>
      <c r="I15">
        <v>23.7</v>
      </c>
      <c r="J15">
        <v>26.8</v>
      </c>
      <c r="K15">
        <v>25.6</v>
      </c>
      <c r="L15">
        <v>28.1</v>
      </c>
      <c r="M15">
        <v>24.2</v>
      </c>
      <c r="N15">
        <v>23.7</v>
      </c>
    </row>
    <row r="16" spans="1:14" x14ac:dyDescent="0.45">
      <c r="A16" s="4" t="s">
        <v>143</v>
      </c>
      <c r="B16" t="s">
        <v>126</v>
      </c>
      <c r="C16">
        <v>19.8</v>
      </c>
      <c r="D16">
        <v>19.8</v>
      </c>
      <c r="E16">
        <v>20.3</v>
      </c>
      <c r="F16">
        <v>20.2</v>
      </c>
      <c r="G16">
        <v>20.5</v>
      </c>
      <c r="H16">
        <v>21.3</v>
      </c>
      <c r="I16">
        <v>23.5</v>
      </c>
      <c r="J16">
        <v>26.6</v>
      </c>
      <c r="K16">
        <v>25.4</v>
      </c>
      <c r="L16">
        <v>27.9</v>
      </c>
      <c r="M16">
        <v>24</v>
      </c>
      <c r="N16">
        <v>23.4</v>
      </c>
    </row>
    <row r="22" spans="1:12" x14ac:dyDescent="0.45">
      <c r="B22" t="s">
        <v>120</v>
      </c>
    </row>
    <row r="23" spans="1:12" x14ac:dyDescent="0.45">
      <c r="C23">
        <v>2015</v>
      </c>
      <c r="D23">
        <v>2016</v>
      </c>
      <c r="E23">
        <v>2017</v>
      </c>
      <c r="F23">
        <v>2018</v>
      </c>
      <c r="G23">
        <v>2019</v>
      </c>
      <c r="H23">
        <v>2020</v>
      </c>
      <c r="I23">
        <v>2021</v>
      </c>
      <c r="J23">
        <v>2022</v>
      </c>
      <c r="K23">
        <v>2023</v>
      </c>
      <c r="L23">
        <v>2024</v>
      </c>
    </row>
    <row r="24" spans="1:12" x14ac:dyDescent="0.45">
      <c r="A24" s="6" t="s">
        <v>145</v>
      </c>
      <c r="B24" t="s">
        <v>146</v>
      </c>
      <c r="C24" s="1">
        <f t="shared" ref="C24:L24" si="0">E6/1000000</f>
        <v>205.96765099999999</v>
      </c>
      <c r="D24" s="1">
        <f t="shared" si="0"/>
        <v>216.92958400000001</v>
      </c>
      <c r="E24" s="1">
        <f t="shared" si="0"/>
        <v>225.52009899999999</v>
      </c>
      <c r="F24" s="1">
        <f t="shared" si="0"/>
        <v>246.425117</v>
      </c>
      <c r="G24" s="1">
        <f t="shared" si="0"/>
        <v>277.65470399999998</v>
      </c>
      <c r="H24" s="1">
        <f t="shared" si="0"/>
        <v>320.76041099999998</v>
      </c>
      <c r="I24" s="1">
        <f t="shared" si="0"/>
        <v>339.73995100000002</v>
      </c>
      <c r="J24" s="1">
        <f t="shared" si="0"/>
        <v>379.87249300000002</v>
      </c>
      <c r="K24" s="1">
        <f t="shared" si="0"/>
        <v>343.49672199999998</v>
      </c>
      <c r="L24" s="1">
        <f t="shared" si="0"/>
        <v>344.51851599999998</v>
      </c>
    </row>
    <row r="25" spans="1:12" x14ac:dyDescent="0.45">
      <c r="A25" s="6"/>
      <c r="B25" t="s">
        <v>147</v>
      </c>
      <c r="C25" s="1">
        <f t="shared" ref="C25:L25" si="1">(E7+E10)/1000000</f>
        <v>45.150798000000002</v>
      </c>
      <c r="D25" s="1">
        <f t="shared" si="1"/>
        <v>42.221820000000001</v>
      </c>
      <c r="E25" s="1">
        <f t="shared" si="1"/>
        <v>44.498995000000001</v>
      </c>
      <c r="F25" s="1">
        <f t="shared" si="1"/>
        <v>41.663933</v>
      </c>
      <c r="G25" s="1">
        <f t="shared" si="1"/>
        <v>46.080272999999998</v>
      </c>
      <c r="H25" s="1">
        <f t="shared" si="1"/>
        <v>48.742845000000003</v>
      </c>
      <c r="I25" s="1">
        <f t="shared" si="1"/>
        <v>53.299016000000002</v>
      </c>
      <c r="J25" s="1">
        <f t="shared" si="1"/>
        <v>54.609037000000001</v>
      </c>
      <c r="K25" s="1">
        <f t="shared" si="1"/>
        <v>64.632768999999996</v>
      </c>
      <c r="L25" s="1">
        <f t="shared" si="1"/>
        <v>73.446776</v>
      </c>
    </row>
    <row r="26" spans="1:12" x14ac:dyDescent="0.45">
      <c r="A26" s="6" t="s">
        <v>148</v>
      </c>
      <c r="B26" s="6"/>
      <c r="C26" s="1">
        <f t="shared" ref="C26:L27" si="2">E8/1000000</f>
        <v>88.042483000000004</v>
      </c>
      <c r="D26" s="1">
        <f t="shared" si="2"/>
        <v>94.932879999999997</v>
      </c>
      <c r="E26" s="1">
        <f t="shared" si="2"/>
        <v>105.753891</v>
      </c>
      <c r="F26" s="1">
        <f t="shared" si="2"/>
        <v>112.40735100000001</v>
      </c>
      <c r="G26" s="1">
        <f t="shared" si="2"/>
        <v>120.955624</v>
      </c>
      <c r="H26" s="1">
        <f t="shared" si="2"/>
        <v>147.87935899999999</v>
      </c>
      <c r="I26" s="1">
        <f t="shared" si="2"/>
        <v>172.510077</v>
      </c>
      <c r="J26" s="1">
        <f t="shared" si="2"/>
        <v>206.81608399999999</v>
      </c>
      <c r="K26" s="1">
        <f t="shared" si="2"/>
        <v>171.19759400000001</v>
      </c>
      <c r="L26" s="1">
        <f t="shared" si="2"/>
        <v>185.22357</v>
      </c>
    </row>
    <row r="27" spans="1:12" x14ac:dyDescent="0.45">
      <c r="A27" s="6" t="s">
        <v>149</v>
      </c>
      <c r="B27" s="6"/>
      <c r="C27" s="1">
        <f t="shared" si="2"/>
        <v>0.190085</v>
      </c>
      <c r="D27" s="1">
        <f t="shared" si="2"/>
        <v>0.26927600000000002</v>
      </c>
      <c r="E27" s="1">
        <f t="shared" si="2"/>
        <v>4.0362590000000003</v>
      </c>
      <c r="F27" s="1">
        <f t="shared" si="2"/>
        <v>6.6023610000000001</v>
      </c>
      <c r="G27" s="1">
        <f t="shared" si="2"/>
        <v>11.158970999999999</v>
      </c>
      <c r="H27" s="1">
        <f t="shared" si="2"/>
        <v>0.39850400000000002</v>
      </c>
      <c r="I27" s="1">
        <f t="shared" si="2"/>
        <v>2.563714</v>
      </c>
      <c r="J27" s="1">
        <f t="shared" si="2"/>
        <v>11.604730999999999</v>
      </c>
      <c r="K27" s="1">
        <f t="shared" si="2"/>
        <v>1.027328</v>
      </c>
      <c r="L27" s="1">
        <f t="shared" si="2"/>
        <v>0.41966700000000001</v>
      </c>
    </row>
    <row r="28" spans="1:12" x14ac:dyDescent="0.45">
      <c r="A28" s="6" t="s">
        <v>150</v>
      </c>
      <c r="B28" s="6"/>
      <c r="C28" s="1">
        <f>SUM(C24:C27)</f>
        <v>339.35101700000001</v>
      </c>
      <c r="D28" s="1">
        <f t="shared" ref="D28:L28" si="3">SUM(D24:D27)</f>
        <v>354.35356000000002</v>
      </c>
      <c r="E28" s="1">
        <f t="shared" si="3"/>
        <v>379.80924399999998</v>
      </c>
      <c r="F28" s="1">
        <f t="shared" si="3"/>
        <v>407.09876199999997</v>
      </c>
      <c r="G28" s="1">
        <f t="shared" si="3"/>
        <v>455.84957199999997</v>
      </c>
      <c r="H28" s="1">
        <f t="shared" si="3"/>
        <v>517.78111899999999</v>
      </c>
      <c r="I28" s="1">
        <f t="shared" si="3"/>
        <v>568.11275799999999</v>
      </c>
      <c r="J28" s="1">
        <f t="shared" si="3"/>
        <v>652.90234500000008</v>
      </c>
      <c r="K28" s="1">
        <f t="shared" si="3"/>
        <v>580.35441300000002</v>
      </c>
      <c r="L28" s="1">
        <f t="shared" si="3"/>
        <v>603.60852899999998</v>
      </c>
    </row>
    <row r="29" spans="1:12" x14ac:dyDescent="0.45">
      <c r="A29" s="6" t="s">
        <v>151</v>
      </c>
      <c r="B29" s="6"/>
      <c r="C29" s="3">
        <f>(E4*1000000)/(E13*100000000)</f>
        <v>0.20467240149759316</v>
      </c>
      <c r="D29" s="3">
        <f t="shared" ref="D29:L29" si="4">(F4*1000000)/(F13*100000000)</f>
        <v>0.20356026690570134</v>
      </c>
      <c r="E29" s="3">
        <f t="shared" si="4"/>
        <v>0.2069017902833919</v>
      </c>
      <c r="F29" s="3">
        <f t="shared" si="4"/>
        <v>0.21446651988844545</v>
      </c>
      <c r="G29" s="3">
        <f t="shared" si="4"/>
        <v>0.2368667306036831</v>
      </c>
      <c r="H29" s="3">
        <f t="shared" si="4"/>
        <v>0.26784288657221234</v>
      </c>
      <c r="I29" s="3">
        <f t="shared" si="4"/>
        <v>0.25568633135889351</v>
      </c>
      <c r="J29" s="3">
        <f t="shared" si="4"/>
        <v>0.28096546297489672</v>
      </c>
      <c r="K29" s="3">
        <f t="shared" si="4"/>
        <v>0.24169455937128492</v>
      </c>
      <c r="L29" s="3">
        <f t="shared" si="4"/>
        <v>0.23679087812515115</v>
      </c>
    </row>
  </sheetData>
  <mergeCells count="5">
    <mergeCell ref="A24:A25"/>
    <mergeCell ref="A26:B26"/>
    <mergeCell ref="A27:B27"/>
    <mergeCell ref="A28:B28"/>
    <mergeCell ref="A29:B2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CED4-72BC-41AF-8A01-60AF8573C0A9}">
  <dimension ref="A1:Y37"/>
  <sheetViews>
    <sheetView workbookViewId="0">
      <selection activeCell="Q25" sqref="Q25"/>
    </sheetView>
  </sheetViews>
  <sheetFormatPr defaultRowHeight="17" x14ac:dyDescent="0.45"/>
  <cols>
    <col min="1" max="1" width="22.33203125" bestFit="1" customWidth="1"/>
    <col min="2" max="2" width="42.08203125" bestFit="1" customWidth="1"/>
    <col min="3" max="12" width="10.5" bestFit="1" customWidth="1"/>
    <col min="16" max="16" width="10.5" bestFit="1" customWidth="1"/>
  </cols>
  <sheetData>
    <row r="1" spans="1:25" x14ac:dyDescent="0.45">
      <c r="A1" t="s">
        <v>152</v>
      </c>
    </row>
    <row r="2" spans="1:25" x14ac:dyDescent="0.45">
      <c r="O2" t="s">
        <v>120</v>
      </c>
    </row>
    <row r="3" spans="1:25" x14ac:dyDescent="0.45">
      <c r="A3" t="s">
        <v>2</v>
      </c>
      <c r="B3" t="s">
        <v>3</v>
      </c>
      <c r="C3">
        <v>2015</v>
      </c>
      <c r="D3">
        <v>2016</v>
      </c>
      <c r="E3">
        <v>2017</v>
      </c>
      <c r="F3">
        <v>2018</v>
      </c>
      <c r="G3">
        <v>2019</v>
      </c>
      <c r="H3">
        <v>2020</v>
      </c>
      <c r="I3">
        <v>2021</v>
      </c>
      <c r="J3">
        <v>2022</v>
      </c>
      <c r="K3">
        <v>2023</v>
      </c>
      <c r="L3">
        <v>2024</v>
      </c>
      <c r="P3" s="2">
        <v>2015</v>
      </c>
      <c r="Q3">
        <v>2016</v>
      </c>
      <c r="R3">
        <v>2017</v>
      </c>
      <c r="S3">
        <v>2018</v>
      </c>
      <c r="T3">
        <v>2019</v>
      </c>
      <c r="U3" s="2">
        <v>2020</v>
      </c>
      <c r="V3" s="2">
        <v>2021</v>
      </c>
      <c r="W3" s="2">
        <v>2022</v>
      </c>
      <c r="X3" s="2">
        <v>2023</v>
      </c>
      <c r="Y3" s="2">
        <v>2024</v>
      </c>
    </row>
    <row r="4" spans="1:25" x14ac:dyDescent="0.45">
      <c r="A4" t="s">
        <v>4</v>
      </c>
      <c r="B4" t="s">
        <v>5</v>
      </c>
      <c r="C4">
        <v>210832685</v>
      </c>
      <c r="D4">
        <v>235715955</v>
      </c>
      <c r="E4">
        <v>258511509</v>
      </c>
      <c r="F4">
        <v>285891986</v>
      </c>
      <c r="G4">
        <v>286031995</v>
      </c>
      <c r="H4">
        <v>276278187</v>
      </c>
      <c r="I4">
        <v>332504798</v>
      </c>
      <c r="J4">
        <v>385159576</v>
      </c>
      <c r="K4">
        <v>333939609</v>
      </c>
      <c r="L4">
        <v>326179304</v>
      </c>
      <c r="O4" t="s">
        <v>0</v>
      </c>
      <c r="P4" s="1">
        <f>SUM(C5,C24,C29,C33,C36)/1000000</f>
        <v>202.33726100000001</v>
      </c>
      <c r="Q4" s="1">
        <f t="shared" ref="Q4:Y4" si="0">SUM(D5,D24,D29,D33,D36)/1000000</f>
        <v>227.670557</v>
      </c>
      <c r="R4" s="1">
        <f t="shared" si="0"/>
        <v>249.982326</v>
      </c>
      <c r="S4" s="1">
        <f t="shared" si="0"/>
        <v>277.07677699999999</v>
      </c>
      <c r="T4" s="1">
        <f t="shared" si="0"/>
        <v>278.14986900000002</v>
      </c>
      <c r="U4" s="1">
        <f t="shared" si="0"/>
        <v>269.21964700000001</v>
      </c>
      <c r="V4" s="1">
        <f t="shared" si="0"/>
        <v>324.27779800000002</v>
      </c>
      <c r="W4" s="1">
        <f t="shared" si="0"/>
        <v>374.83545800000002</v>
      </c>
      <c r="X4" s="1">
        <f t="shared" si="0"/>
        <v>326.65132699999998</v>
      </c>
      <c r="Y4" s="1">
        <f t="shared" si="0"/>
        <v>319.20703700000001</v>
      </c>
    </row>
    <row r="5" spans="1:25" x14ac:dyDescent="0.45">
      <c r="A5" t="s">
        <v>87</v>
      </c>
      <c r="B5" t="s">
        <v>6</v>
      </c>
      <c r="C5">
        <v>182012867</v>
      </c>
      <c r="D5">
        <v>206192573</v>
      </c>
      <c r="E5">
        <v>227768996</v>
      </c>
      <c r="F5">
        <v>254770201</v>
      </c>
      <c r="G5">
        <v>255804538</v>
      </c>
      <c r="H5">
        <v>246987193</v>
      </c>
      <c r="I5">
        <v>296445033</v>
      </c>
      <c r="J5">
        <v>352274995</v>
      </c>
      <c r="K5">
        <v>306059472</v>
      </c>
      <c r="L5">
        <v>298259369</v>
      </c>
      <c r="O5" t="s">
        <v>1</v>
      </c>
      <c r="P5" s="1">
        <f>C21/1000000</f>
        <v>8.4954239999999999</v>
      </c>
      <c r="Q5" s="1">
        <f t="shared" ref="Q5:Y5" si="1">D21/1000000</f>
        <v>8.0453980000000005</v>
      </c>
      <c r="R5" s="1">
        <f t="shared" si="1"/>
        <v>8.5291829999999997</v>
      </c>
      <c r="S5" s="1">
        <f t="shared" si="1"/>
        <v>8.8152089999999994</v>
      </c>
      <c r="T5" s="1">
        <f t="shared" si="1"/>
        <v>7.8821260000000004</v>
      </c>
      <c r="U5" s="1">
        <f t="shared" si="1"/>
        <v>7.0585399999999998</v>
      </c>
      <c r="V5" s="1">
        <f t="shared" si="1"/>
        <v>8.2270000000000003</v>
      </c>
      <c r="W5" s="1">
        <f t="shared" si="1"/>
        <v>10.324118</v>
      </c>
      <c r="X5" s="1">
        <f t="shared" si="1"/>
        <v>7.2882819999999997</v>
      </c>
      <c r="Y5" s="1">
        <f t="shared" si="1"/>
        <v>6.9722670000000004</v>
      </c>
    </row>
    <row r="6" spans="1:25" x14ac:dyDescent="0.45">
      <c r="A6" t="s">
        <v>88</v>
      </c>
      <c r="B6" t="s">
        <v>7</v>
      </c>
      <c r="C6">
        <v>110794855</v>
      </c>
      <c r="D6">
        <v>125962528</v>
      </c>
      <c r="E6">
        <v>141027508</v>
      </c>
      <c r="F6">
        <v>162757841</v>
      </c>
      <c r="G6">
        <v>164065433</v>
      </c>
      <c r="H6">
        <v>158997225</v>
      </c>
      <c r="I6">
        <v>199514775</v>
      </c>
      <c r="J6">
        <v>246912975</v>
      </c>
      <c r="K6">
        <v>210886593</v>
      </c>
      <c r="L6">
        <v>195227374</v>
      </c>
      <c r="O6" t="s">
        <v>121</v>
      </c>
      <c r="P6" s="1">
        <f>SUM(P4:P5)</f>
        <v>210.83268500000003</v>
      </c>
      <c r="Q6" s="1">
        <f t="shared" ref="Q6:Y6" si="2">SUM(Q4:Q5)</f>
        <v>235.71595500000001</v>
      </c>
      <c r="R6" s="1">
        <f t="shared" si="2"/>
        <v>258.51150899999999</v>
      </c>
      <c r="S6" s="1">
        <f t="shared" si="2"/>
        <v>285.89198599999997</v>
      </c>
      <c r="T6" s="1">
        <f t="shared" si="2"/>
        <v>286.03199500000005</v>
      </c>
      <c r="U6" s="1">
        <f t="shared" si="2"/>
        <v>276.278187</v>
      </c>
      <c r="V6" s="1">
        <f t="shared" si="2"/>
        <v>332.50479799999999</v>
      </c>
      <c r="W6" s="1">
        <f t="shared" si="2"/>
        <v>385.15957600000002</v>
      </c>
      <c r="X6" s="1">
        <f t="shared" si="2"/>
        <v>333.93960899999996</v>
      </c>
      <c r="Y6" s="1">
        <f t="shared" si="2"/>
        <v>326.179304</v>
      </c>
    </row>
    <row r="7" spans="1:25" x14ac:dyDescent="0.45">
      <c r="A7" t="s">
        <v>89</v>
      </c>
      <c r="B7" t="s">
        <v>8</v>
      </c>
      <c r="C7">
        <v>60721761</v>
      </c>
      <c r="D7">
        <v>68497048</v>
      </c>
      <c r="E7">
        <v>75065760</v>
      </c>
      <c r="F7">
        <v>84461613</v>
      </c>
      <c r="G7">
        <v>83561997</v>
      </c>
      <c r="H7">
        <v>93108724</v>
      </c>
      <c r="I7">
        <v>114112339</v>
      </c>
      <c r="J7">
        <v>128748596</v>
      </c>
      <c r="K7">
        <v>115833024</v>
      </c>
      <c r="L7">
        <v>117417964</v>
      </c>
      <c r="O7" t="s">
        <v>122</v>
      </c>
      <c r="P7" s="1">
        <f>세외수입!C4/1000000</f>
        <v>51.105600000000003</v>
      </c>
      <c r="Q7" s="1">
        <f>세외수입!D4/1000000</f>
        <v>45.958620000000003</v>
      </c>
      <c r="R7" s="1">
        <f>세외수입!E4/1000000</f>
        <v>34.389102000000001</v>
      </c>
      <c r="S7" s="1">
        <f>세외수입!F4/1000000</f>
        <v>30.326495999999999</v>
      </c>
      <c r="T7" s="1">
        <f>세외수입!G4/1000000</f>
        <v>46.207675999999999</v>
      </c>
      <c r="U7" s="1">
        <f>세외수입!H4/1000000</f>
        <v>116.088854</v>
      </c>
      <c r="V7" s="1">
        <f>세외수입!I4/1000000</f>
        <v>105.85849</v>
      </c>
      <c r="W7" s="1">
        <f>세외수입!J4/1000000</f>
        <v>105.44584399999999</v>
      </c>
      <c r="X7" s="1">
        <f>세외수입!K4/1000000</f>
        <v>71.237618999999995</v>
      </c>
      <c r="Y7" s="1">
        <f>세외수입!L4/1000000</f>
        <v>111.138516</v>
      </c>
    </row>
    <row r="8" spans="1:25" x14ac:dyDescent="0.45">
      <c r="A8" t="s">
        <v>90</v>
      </c>
      <c r="B8" t="s">
        <v>9</v>
      </c>
      <c r="C8">
        <v>45029483</v>
      </c>
      <c r="D8">
        <v>52115420</v>
      </c>
      <c r="E8">
        <v>59176596</v>
      </c>
      <c r="F8">
        <v>70937351</v>
      </c>
      <c r="G8">
        <v>72174278</v>
      </c>
      <c r="H8">
        <v>55513201</v>
      </c>
      <c r="I8">
        <v>70396282</v>
      </c>
      <c r="J8">
        <v>103570360</v>
      </c>
      <c r="K8">
        <v>80419515</v>
      </c>
      <c r="L8">
        <v>62511273</v>
      </c>
      <c r="O8" t="s">
        <v>121</v>
      </c>
      <c r="P8" s="1">
        <f>SUM(P6:P7)</f>
        <v>261.93828500000001</v>
      </c>
      <c r="Q8" s="1">
        <f t="shared" ref="Q8:Y8" si="3">SUM(Q6:Q7)</f>
        <v>281.674575</v>
      </c>
      <c r="R8" s="1">
        <f t="shared" si="3"/>
        <v>292.90061099999997</v>
      </c>
      <c r="S8" s="1">
        <f t="shared" si="3"/>
        <v>316.21848199999999</v>
      </c>
      <c r="T8" s="1">
        <f t="shared" si="3"/>
        <v>332.23967100000004</v>
      </c>
      <c r="U8" s="1">
        <f t="shared" si="3"/>
        <v>392.36704099999997</v>
      </c>
      <c r="V8" s="1">
        <f t="shared" si="3"/>
        <v>438.36328800000001</v>
      </c>
      <c r="W8" s="1">
        <f t="shared" si="3"/>
        <v>490.60541999999998</v>
      </c>
      <c r="X8" s="1">
        <f t="shared" si="3"/>
        <v>405.17722799999996</v>
      </c>
      <c r="Y8" s="1">
        <f t="shared" si="3"/>
        <v>437.31781999999998</v>
      </c>
    </row>
    <row r="9" spans="1:25" x14ac:dyDescent="0.45">
      <c r="A9" t="s">
        <v>91</v>
      </c>
      <c r="B9" t="s">
        <v>10</v>
      </c>
      <c r="C9">
        <v>5043611</v>
      </c>
      <c r="D9">
        <v>5350060</v>
      </c>
      <c r="E9">
        <v>6785152</v>
      </c>
      <c r="F9">
        <v>7358877</v>
      </c>
      <c r="G9">
        <v>8329158</v>
      </c>
      <c r="H9">
        <v>10375300</v>
      </c>
      <c r="I9">
        <v>15006154</v>
      </c>
      <c r="J9">
        <v>14594019</v>
      </c>
      <c r="K9">
        <v>14634054</v>
      </c>
      <c r="L9">
        <v>15298137</v>
      </c>
    </row>
    <row r="10" spans="1:25" x14ac:dyDescent="0.45">
      <c r="A10" t="s">
        <v>92</v>
      </c>
      <c r="B10" t="s">
        <v>11</v>
      </c>
      <c r="O10" t="s">
        <v>0</v>
      </c>
      <c r="P10" s="3">
        <f>P4/P$8</f>
        <v>0.77246157811562366</v>
      </c>
      <c r="Q10" s="3">
        <f t="shared" ref="Q10:Y10" si="4">Q4/Q$8</f>
        <v>0.80827514162398217</v>
      </c>
      <c r="R10" s="3">
        <f t="shared" si="4"/>
        <v>0.85347150743908839</v>
      </c>
      <c r="S10" s="3">
        <f t="shared" si="4"/>
        <v>0.876219426668426</v>
      </c>
      <c r="T10" s="3">
        <f t="shared" si="4"/>
        <v>0.83719643762830476</v>
      </c>
      <c r="U10" s="3">
        <f t="shared" si="4"/>
        <v>0.68614235873089047</v>
      </c>
      <c r="V10" s="3">
        <f t="shared" si="4"/>
        <v>0.73974670524872965</v>
      </c>
      <c r="W10" s="3">
        <f t="shared" si="4"/>
        <v>0.76402632893864086</v>
      </c>
      <c r="X10" s="3">
        <f t="shared" si="4"/>
        <v>0.806193696058358</v>
      </c>
      <c r="Y10" s="3">
        <f t="shared" si="4"/>
        <v>0.72992003161453611</v>
      </c>
    </row>
    <row r="11" spans="1:25" x14ac:dyDescent="0.45">
      <c r="A11" t="s">
        <v>93</v>
      </c>
      <c r="B11" t="s">
        <v>12</v>
      </c>
      <c r="O11" t="s">
        <v>1</v>
      </c>
      <c r="P11" s="3">
        <f t="shared" ref="P11:Y14" si="5">P5/P$8</f>
        <v>3.2432922128966368E-2</v>
      </c>
      <c r="Q11" s="3">
        <f t="shared" si="5"/>
        <v>2.8562741241377573E-2</v>
      </c>
      <c r="R11" s="3">
        <f t="shared" si="5"/>
        <v>2.9119717336472201E-2</v>
      </c>
      <c r="S11" s="3">
        <f t="shared" si="5"/>
        <v>2.7876956919931074E-2</v>
      </c>
      <c r="T11" s="3">
        <f t="shared" si="5"/>
        <v>2.3724216847060383E-2</v>
      </c>
      <c r="U11" s="3">
        <f t="shared" si="5"/>
        <v>1.7989635373068965E-2</v>
      </c>
      <c r="V11" s="3">
        <f t="shared" si="5"/>
        <v>1.8767538763419439E-2</v>
      </c>
      <c r="W11" s="3">
        <f t="shared" si="5"/>
        <v>2.1043628095262383E-2</v>
      </c>
      <c r="X11" s="3">
        <f t="shared" si="5"/>
        <v>1.798788652554778E-2</v>
      </c>
      <c r="Y11" s="3">
        <f t="shared" si="5"/>
        <v>1.5943249236905096E-2</v>
      </c>
    </row>
    <row r="12" spans="1:25" x14ac:dyDescent="0.45">
      <c r="A12" t="s">
        <v>94</v>
      </c>
      <c r="B12" t="s">
        <v>13</v>
      </c>
      <c r="O12" t="s">
        <v>121</v>
      </c>
      <c r="P12" s="3">
        <f t="shared" si="5"/>
        <v>0.80489450024459008</v>
      </c>
      <c r="Q12" s="3">
        <f t="shared" si="5"/>
        <v>0.83683788286535976</v>
      </c>
      <c r="R12" s="3">
        <f t="shared" si="5"/>
        <v>0.88259122477556051</v>
      </c>
      <c r="S12" s="3">
        <f t="shared" si="5"/>
        <v>0.90409638358835709</v>
      </c>
      <c r="T12" s="3">
        <f t="shared" si="5"/>
        <v>0.86092065447536525</v>
      </c>
      <c r="U12" s="3">
        <f t="shared" si="5"/>
        <v>0.70413199410395944</v>
      </c>
      <c r="V12" s="3">
        <f t="shared" si="5"/>
        <v>0.75851424401214906</v>
      </c>
      <c r="W12" s="3">
        <f t="shared" si="5"/>
        <v>0.78506995703390314</v>
      </c>
      <c r="X12" s="3">
        <f t="shared" si="5"/>
        <v>0.82418158258390573</v>
      </c>
      <c r="Y12" s="3">
        <f t="shared" si="5"/>
        <v>0.74586328085144116</v>
      </c>
    </row>
    <row r="13" spans="1:25" x14ac:dyDescent="0.45">
      <c r="A13" t="s">
        <v>95</v>
      </c>
      <c r="B13" t="s">
        <v>14</v>
      </c>
      <c r="C13">
        <v>66829730</v>
      </c>
      <c r="D13">
        <v>75177561</v>
      </c>
      <c r="E13">
        <v>81456098</v>
      </c>
      <c r="F13">
        <v>86701333</v>
      </c>
      <c r="G13">
        <v>85020708</v>
      </c>
      <c r="H13">
        <v>82859679</v>
      </c>
      <c r="I13">
        <v>90824006</v>
      </c>
      <c r="J13">
        <v>97247719</v>
      </c>
      <c r="K13">
        <v>88676048</v>
      </c>
      <c r="L13">
        <v>95652532</v>
      </c>
      <c r="O13" t="s">
        <v>122</v>
      </c>
      <c r="P13" s="3">
        <f t="shared" si="5"/>
        <v>0.19510549975540994</v>
      </c>
      <c r="Q13" s="3">
        <f t="shared" si="5"/>
        <v>0.16316211713464021</v>
      </c>
      <c r="R13" s="3">
        <f t="shared" si="5"/>
        <v>0.11740877522443954</v>
      </c>
      <c r="S13" s="3">
        <f t="shared" si="5"/>
        <v>9.5903616411642884E-2</v>
      </c>
      <c r="T13" s="3">
        <f t="shared" si="5"/>
        <v>0.1390793455246348</v>
      </c>
      <c r="U13" s="3">
        <f t="shared" si="5"/>
        <v>0.29586800589604062</v>
      </c>
      <c r="V13" s="3">
        <f t="shared" si="5"/>
        <v>0.24148575598785088</v>
      </c>
      <c r="W13" s="3">
        <f t="shared" si="5"/>
        <v>0.21493004296609686</v>
      </c>
      <c r="X13" s="3">
        <f t="shared" si="5"/>
        <v>0.17581841741609427</v>
      </c>
      <c r="Y13" s="3">
        <f t="shared" si="5"/>
        <v>0.25413671914855884</v>
      </c>
    </row>
    <row r="14" spans="1:25" x14ac:dyDescent="0.45">
      <c r="A14" t="s">
        <v>96</v>
      </c>
      <c r="B14" t="s">
        <v>15</v>
      </c>
      <c r="C14">
        <v>54159098</v>
      </c>
      <c r="D14">
        <v>61828024</v>
      </c>
      <c r="E14">
        <v>67086975</v>
      </c>
      <c r="F14">
        <v>70009108</v>
      </c>
      <c r="G14">
        <v>70828268</v>
      </c>
      <c r="H14">
        <v>64882907</v>
      </c>
      <c r="I14">
        <v>71204565</v>
      </c>
      <c r="J14">
        <v>81626608</v>
      </c>
      <c r="K14">
        <v>73774862</v>
      </c>
      <c r="L14">
        <v>82235811</v>
      </c>
      <c r="O14" t="s">
        <v>121</v>
      </c>
      <c r="P14" s="3">
        <f t="shared" si="5"/>
        <v>1</v>
      </c>
      <c r="Q14" s="3">
        <f t="shared" si="5"/>
        <v>1</v>
      </c>
      <c r="R14" s="3">
        <f t="shared" si="5"/>
        <v>1</v>
      </c>
      <c r="S14" s="3">
        <f t="shared" si="5"/>
        <v>1</v>
      </c>
      <c r="T14" s="3">
        <f t="shared" si="5"/>
        <v>1</v>
      </c>
      <c r="U14" s="3">
        <f t="shared" si="5"/>
        <v>1</v>
      </c>
      <c r="V14" s="3">
        <f t="shared" si="5"/>
        <v>1</v>
      </c>
      <c r="W14" s="3">
        <f t="shared" si="5"/>
        <v>1</v>
      </c>
      <c r="X14" s="3">
        <f t="shared" si="5"/>
        <v>1</v>
      </c>
      <c r="Y14" s="3">
        <f t="shared" si="5"/>
        <v>1</v>
      </c>
    </row>
    <row r="15" spans="1:25" x14ac:dyDescent="0.45">
      <c r="A15" t="s">
        <v>97</v>
      </c>
      <c r="B15" t="s">
        <v>16</v>
      </c>
      <c r="C15">
        <v>8000762</v>
      </c>
      <c r="D15">
        <v>8881274</v>
      </c>
      <c r="E15">
        <v>9860807</v>
      </c>
      <c r="F15">
        <v>10451027</v>
      </c>
      <c r="G15">
        <v>9719127</v>
      </c>
      <c r="H15">
        <v>9218116</v>
      </c>
      <c r="I15">
        <v>9363810</v>
      </c>
      <c r="J15">
        <v>9318244</v>
      </c>
      <c r="K15">
        <v>8820924</v>
      </c>
      <c r="L15">
        <v>8656553</v>
      </c>
    </row>
    <row r="16" spans="1:25" x14ac:dyDescent="0.45">
      <c r="A16" t="s">
        <v>98</v>
      </c>
      <c r="B16" t="s">
        <v>17</v>
      </c>
    </row>
    <row r="17" spans="1:12" x14ac:dyDescent="0.45">
      <c r="A17" t="s">
        <v>99</v>
      </c>
      <c r="B17" t="s">
        <v>18</v>
      </c>
      <c r="C17">
        <v>4669870</v>
      </c>
      <c r="D17">
        <v>4468083</v>
      </c>
      <c r="E17">
        <v>4508316</v>
      </c>
      <c r="F17">
        <v>6241198</v>
      </c>
      <c r="G17">
        <v>4473313</v>
      </c>
      <c r="H17">
        <v>8758656</v>
      </c>
      <c r="I17">
        <v>10255631</v>
      </c>
      <c r="J17">
        <v>6302867</v>
      </c>
      <c r="K17">
        <v>6080262</v>
      </c>
      <c r="L17">
        <v>4760168</v>
      </c>
    </row>
    <row r="18" spans="1:12" x14ac:dyDescent="0.45">
      <c r="A18" t="s">
        <v>100</v>
      </c>
      <c r="B18" t="s">
        <v>19</v>
      </c>
    </row>
    <row r="19" spans="1:12" x14ac:dyDescent="0.45">
      <c r="A19" t="s">
        <v>101</v>
      </c>
      <c r="B19" t="s">
        <v>20</v>
      </c>
      <c r="C19">
        <v>3434838</v>
      </c>
      <c r="D19">
        <v>4146690</v>
      </c>
      <c r="E19">
        <v>4389625</v>
      </c>
      <c r="F19">
        <v>4429774</v>
      </c>
      <c r="G19">
        <v>5872809</v>
      </c>
      <c r="H19">
        <v>4165083</v>
      </c>
      <c r="I19">
        <v>5146496</v>
      </c>
      <c r="J19">
        <v>7315527</v>
      </c>
      <c r="K19">
        <v>5699899</v>
      </c>
      <c r="L19">
        <v>6533443</v>
      </c>
    </row>
    <row r="20" spans="1:12" x14ac:dyDescent="0.45">
      <c r="A20" t="s">
        <v>102</v>
      </c>
      <c r="B20" t="s">
        <v>21</v>
      </c>
      <c r="C20">
        <v>953446</v>
      </c>
      <c r="D20">
        <v>905795</v>
      </c>
      <c r="E20">
        <v>895764</v>
      </c>
      <c r="F20">
        <v>881253</v>
      </c>
      <c r="G20">
        <v>845588</v>
      </c>
      <c r="H20">
        <v>965206</v>
      </c>
      <c r="I20">
        <v>959756</v>
      </c>
      <c r="J20">
        <v>798775</v>
      </c>
      <c r="K20">
        <v>796932</v>
      </c>
      <c r="L20">
        <v>846020</v>
      </c>
    </row>
    <row r="21" spans="1:12" x14ac:dyDescent="0.45">
      <c r="A21" t="s">
        <v>103</v>
      </c>
      <c r="B21" t="s">
        <v>22</v>
      </c>
      <c r="C21">
        <v>8495424</v>
      </c>
      <c r="D21">
        <v>8045398</v>
      </c>
      <c r="E21">
        <v>8529183</v>
      </c>
      <c r="F21">
        <v>8815209</v>
      </c>
      <c r="G21">
        <v>7882126</v>
      </c>
      <c r="H21">
        <v>7058540</v>
      </c>
      <c r="I21">
        <v>8227000</v>
      </c>
      <c r="J21">
        <v>10324118</v>
      </c>
      <c r="K21">
        <v>7288282</v>
      </c>
      <c r="L21">
        <v>6972267</v>
      </c>
    </row>
    <row r="22" spans="1:12" x14ac:dyDescent="0.45">
      <c r="A22" t="s">
        <v>104</v>
      </c>
      <c r="B22" t="s">
        <v>22</v>
      </c>
      <c r="C22">
        <v>8199774</v>
      </c>
      <c r="D22">
        <v>7752896</v>
      </c>
      <c r="E22">
        <v>8142175</v>
      </c>
      <c r="F22">
        <v>8400631</v>
      </c>
      <c r="G22">
        <v>7403481</v>
      </c>
      <c r="H22">
        <v>6753183</v>
      </c>
      <c r="I22">
        <v>7865486</v>
      </c>
      <c r="J22">
        <v>9516553</v>
      </c>
      <c r="K22">
        <v>6997580</v>
      </c>
      <c r="L22">
        <v>6658516</v>
      </c>
    </row>
    <row r="23" spans="1:12" x14ac:dyDescent="0.45">
      <c r="A23" t="s">
        <v>105</v>
      </c>
      <c r="B23" t="s">
        <v>20</v>
      </c>
      <c r="C23">
        <v>295650</v>
      </c>
      <c r="D23">
        <v>292502</v>
      </c>
      <c r="E23">
        <v>387009</v>
      </c>
      <c r="F23">
        <v>414578</v>
      </c>
      <c r="G23">
        <v>478646</v>
      </c>
      <c r="H23">
        <v>305357</v>
      </c>
      <c r="I23">
        <v>361514</v>
      </c>
      <c r="J23">
        <v>807565</v>
      </c>
      <c r="K23">
        <v>290703</v>
      </c>
      <c r="L23">
        <v>313751</v>
      </c>
    </row>
    <row r="24" spans="1:12" x14ac:dyDescent="0.45">
      <c r="A24" t="s">
        <v>106</v>
      </c>
      <c r="B24" t="s">
        <v>23</v>
      </c>
      <c r="C24">
        <v>183</v>
      </c>
      <c r="D24">
        <v>263</v>
      </c>
      <c r="E24">
        <v>331</v>
      </c>
      <c r="F24">
        <v>269</v>
      </c>
      <c r="G24">
        <v>271</v>
      </c>
      <c r="H24">
        <v>178</v>
      </c>
      <c r="I24">
        <v>287</v>
      </c>
      <c r="J24">
        <v>898</v>
      </c>
      <c r="K24">
        <v>137</v>
      </c>
      <c r="L24">
        <v>80</v>
      </c>
    </row>
    <row r="25" spans="1:12" x14ac:dyDescent="0.45">
      <c r="A25" t="s">
        <v>107</v>
      </c>
      <c r="B25" t="s">
        <v>23</v>
      </c>
      <c r="C25">
        <v>-5</v>
      </c>
    </row>
    <row r="26" spans="1:12" x14ac:dyDescent="0.45">
      <c r="A26" t="s">
        <v>108</v>
      </c>
      <c r="B26" t="s">
        <v>24</v>
      </c>
    </row>
    <row r="27" spans="1:12" x14ac:dyDescent="0.45">
      <c r="A27" t="s">
        <v>109</v>
      </c>
      <c r="B27" t="s">
        <v>25</v>
      </c>
    </row>
    <row r="28" spans="1:12" x14ac:dyDescent="0.45">
      <c r="A28" t="s">
        <v>110</v>
      </c>
      <c r="B28" t="s">
        <v>26</v>
      </c>
      <c r="C28">
        <v>188</v>
      </c>
      <c r="D28">
        <v>263</v>
      </c>
      <c r="E28">
        <v>331</v>
      </c>
      <c r="F28">
        <v>269</v>
      </c>
      <c r="G28">
        <v>271</v>
      </c>
      <c r="H28">
        <v>178</v>
      </c>
      <c r="I28">
        <v>287</v>
      </c>
      <c r="J28">
        <v>898</v>
      </c>
      <c r="K28">
        <v>137</v>
      </c>
      <c r="L28">
        <v>80</v>
      </c>
    </row>
    <row r="29" spans="1:12" x14ac:dyDescent="0.45">
      <c r="A29" t="s">
        <v>111</v>
      </c>
      <c r="B29" t="s">
        <v>27</v>
      </c>
      <c r="C29">
        <v>14054594</v>
      </c>
      <c r="D29">
        <v>15303016</v>
      </c>
      <c r="E29">
        <v>15552612</v>
      </c>
      <c r="F29">
        <v>15334854</v>
      </c>
      <c r="G29">
        <v>14562707</v>
      </c>
      <c r="H29">
        <v>13937883</v>
      </c>
      <c r="I29">
        <v>16598390</v>
      </c>
      <c r="J29">
        <v>11116375</v>
      </c>
      <c r="K29">
        <v>10843590</v>
      </c>
      <c r="L29">
        <v>11389082</v>
      </c>
    </row>
    <row r="30" spans="1:12" x14ac:dyDescent="0.45">
      <c r="A30" t="s">
        <v>112</v>
      </c>
      <c r="B30" t="s">
        <v>27</v>
      </c>
      <c r="C30">
        <v>14049364</v>
      </c>
      <c r="D30">
        <v>15302418</v>
      </c>
      <c r="E30">
        <v>15524886</v>
      </c>
      <c r="F30">
        <v>15331969</v>
      </c>
      <c r="G30">
        <v>14559936</v>
      </c>
      <c r="H30">
        <v>13937462</v>
      </c>
      <c r="I30">
        <v>16598363</v>
      </c>
      <c r="J30">
        <v>11116082</v>
      </c>
      <c r="K30">
        <v>10842755</v>
      </c>
      <c r="L30">
        <v>11388682</v>
      </c>
    </row>
    <row r="31" spans="1:12" x14ac:dyDescent="0.45">
      <c r="A31" t="s">
        <v>113</v>
      </c>
      <c r="B31" t="s">
        <v>28</v>
      </c>
      <c r="C31">
        <v>5177</v>
      </c>
      <c r="D31">
        <v>554</v>
      </c>
      <c r="E31">
        <v>27715</v>
      </c>
      <c r="F31">
        <v>2873</v>
      </c>
      <c r="G31">
        <v>2760</v>
      </c>
      <c r="H31">
        <v>777</v>
      </c>
      <c r="I31">
        <v>-36</v>
      </c>
      <c r="J31">
        <v>273</v>
      </c>
      <c r="K31">
        <v>811</v>
      </c>
      <c r="L31">
        <v>375</v>
      </c>
    </row>
    <row r="32" spans="1:12" x14ac:dyDescent="0.45">
      <c r="A32" t="s">
        <v>114</v>
      </c>
      <c r="B32" t="s">
        <v>29</v>
      </c>
      <c r="C32">
        <v>53</v>
      </c>
      <c r="D32">
        <v>44</v>
      </c>
      <c r="E32">
        <v>11</v>
      </c>
      <c r="F32">
        <v>12</v>
      </c>
      <c r="G32">
        <v>11</v>
      </c>
      <c r="H32">
        <v>-356</v>
      </c>
      <c r="I32">
        <v>63</v>
      </c>
      <c r="J32">
        <v>20</v>
      </c>
      <c r="K32">
        <v>24</v>
      </c>
      <c r="L32">
        <v>24</v>
      </c>
    </row>
    <row r="33" spans="1:12" x14ac:dyDescent="0.45">
      <c r="A33" t="s">
        <v>115</v>
      </c>
      <c r="B33" t="s">
        <v>30</v>
      </c>
      <c r="C33">
        <v>4870582</v>
      </c>
      <c r="D33">
        <v>4880813</v>
      </c>
      <c r="E33">
        <v>5008413</v>
      </c>
      <c r="F33">
        <v>5098691</v>
      </c>
      <c r="G33">
        <v>5111088</v>
      </c>
      <c r="H33">
        <v>4693743</v>
      </c>
      <c r="I33">
        <v>5103866</v>
      </c>
      <c r="J33">
        <v>4644380</v>
      </c>
      <c r="K33">
        <v>5151619</v>
      </c>
      <c r="L33">
        <v>5373797</v>
      </c>
    </row>
    <row r="34" spans="1:12" x14ac:dyDescent="0.45">
      <c r="A34" t="s">
        <v>116</v>
      </c>
      <c r="B34" t="s">
        <v>30</v>
      </c>
      <c r="C34">
        <v>4837429</v>
      </c>
      <c r="D34">
        <v>4860087</v>
      </c>
      <c r="E34">
        <v>4987915</v>
      </c>
      <c r="F34">
        <v>5080573</v>
      </c>
      <c r="G34">
        <v>5095153</v>
      </c>
      <c r="H34">
        <v>4676131</v>
      </c>
      <c r="I34">
        <v>5086664</v>
      </c>
      <c r="J34">
        <v>4651560</v>
      </c>
      <c r="K34">
        <v>5131880</v>
      </c>
      <c r="L34">
        <v>5354230</v>
      </c>
    </row>
    <row r="35" spans="1:12" x14ac:dyDescent="0.45">
      <c r="A35" t="s">
        <v>117</v>
      </c>
      <c r="B35" t="s">
        <v>31</v>
      </c>
      <c r="C35">
        <v>33153</v>
      </c>
      <c r="D35">
        <v>20726</v>
      </c>
      <c r="E35">
        <v>20498</v>
      </c>
      <c r="F35">
        <v>18118</v>
      </c>
      <c r="G35">
        <v>15935</v>
      </c>
      <c r="H35">
        <v>17612</v>
      </c>
      <c r="I35">
        <v>17202</v>
      </c>
      <c r="J35">
        <v>-7180</v>
      </c>
      <c r="K35">
        <v>19739</v>
      </c>
      <c r="L35">
        <v>19567</v>
      </c>
    </row>
    <row r="36" spans="1:12" x14ac:dyDescent="0.45">
      <c r="A36" t="s">
        <v>118</v>
      </c>
      <c r="B36" t="s">
        <v>32</v>
      </c>
      <c r="C36">
        <v>1399035</v>
      </c>
      <c r="D36">
        <v>1293892</v>
      </c>
      <c r="E36">
        <v>1651974</v>
      </c>
      <c r="F36">
        <v>1872762</v>
      </c>
      <c r="G36">
        <v>2671265</v>
      </c>
      <c r="H36">
        <v>3600650</v>
      </c>
      <c r="I36">
        <v>6130222</v>
      </c>
      <c r="J36">
        <v>6798810</v>
      </c>
      <c r="K36">
        <v>4596509</v>
      </c>
      <c r="L36">
        <v>4184709</v>
      </c>
    </row>
    <row r="37" spans="1:12" x14ac:dyDescent="0.45">
      <c r="A37" t="s">
        <v>119</v>
      </c>
      <c r="B37" t="s">
        <v>32</v>
      </c>
      <c r="C37">
        <v>1399035</v>
      </c>
      <c r="D37">
        <v>1293892</v>
      </c>
      <c r="E37">
        <v>1651974</v>
      </c>
      <c r="F37">
        <v>1872762</v>
      </c>
      <c r="G37">
        <v>2671265</v>
      </c>
      <c r="H37">
        <v>3600650</v>
      </c>
      <c r="I37">
        <v>6130222</v>
      </c>
      <c r="J37">
        <v>6798810</v>
      </c>
      <c r="K37">
        <v>4596509</v>
      </c>
      <c r="L37">
        <v>4184709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0FC8-3B25-4A33-A341-A0759F6BD9D7}">
  <dimension ref="A1:L32"/>
  <sheetViews>
    <sheetView workbookViewId="0"/>
  </sheetViews>
  <sheetFormatPr defaultRowHeight="17" x14ac:dyDescent="0.45"/>
  <cols>
    <col min="1" max="1" width="18.25" bestFit="1" customWidth="1"/>
    <col min="2" max="2" width="39.6640625" bestFit="1" customWidth="1"/>
    <col min="3" max="7" width="9.1640625" bestFit="1" customWidth="1"/>
    <col min="8" max="10" width="10.1640625" bestFit="1" customWidth="1"/>
    <col min="11" max="11" width="9.1640625" bestFit="1" customWidth="1"/>
    <col min="12" max="12" width="10.1640625" bestFit="1" customWidth="1"/>
  </cols>
  <sheetData>
    <row r="1" spans="1:12" x14ac:dyDescent="0.45">
      <c r="A1" t="s">
        <v>152</v>
      </c>
    </row>
    <row r="3" spans="1:12" x14ac:dyDescent="0.45">
      <c r="A3" t="s">
        <v>2</v>
      </c>
      <c r="B3" t="s">
        <v>3</v>
      </c>
      <c r="C3">
        <v>2015</v>
      </c>
      <c r="D3">
        <v>2016</v>
      </c>
      <c r="E3">
        <v>2017</v>
      </c>
      <c r="F3">
        <v>2018</v>
      </c>
      <c r="G3">
        <v>2019</v>
      </c>
      <c r="H3">
        <v>2020</v>
      </c>
      <c r="I3">
        <v>2021</v>
      </c>
      <c r="J3">
        <v>2022</v>
      </c>
      <c r="K3">
        <v>2023</v>
      </c>
      <c r="L3">
        <v>2024</v>
      </c>
    </row>
    <row r="4" spans="1:12" x14ac:dyDescent="0.45">
      <c r="A4" t="s">
        <v>4</v>
      </c>
      <c r="B4" t="s">
        <v>33</v>
      </c>
      <c r="C4">
        <v>51105600</v>
      </c>
      <c r="D4">
        <v>45958620</v>
      </c>
      <c r="E4">
        <v>34389102</v>
      </c>
      <c r="F4">
        <v>30326496</v>
      </c>
      <c r="G4">
        <v>46207676</v>
      </c>
      <c r="H4">
        <v>116088854</v>
      </c>
      <c r="I4">
        <v>105858490</v>
      </c>
      <c r="J4">
        <v>105445844</v>
      </c>
      <c r="K4">
        <v>71237619</v>
      </c>
      <c r="L4">
        <v>111138516</v>
      </c>
    </row>
    <row r="5" spans="1:12" x14ac:dyDescent="0.45">
      <c r="A5" t="s">
        <v>59</v>
      </c>
      <c r="B5" t="s">
        <v>34</v>
      </c>
      <c r="C5">
        <v>1988760</v>
      </c>
      <c r="D5">
        <v>2734143</v>
      </c>
      <c r="E5">
        <v>3269601</v>
      </c>
      <c r="F5">
        <v>3770075</v>
      </c>
      <c r="G5">
        <v>3337187</v>
      </c>
      <c r="H5">
        <v>4486384</v>
      </c>
      <c r="I5">
        <v>6231211</v>
      </c>
      <c r="J5">
        <v>7445566</v>
      </c>
      <c r="K5">
        <v>3083060</v>
      </c>
      <c r="L5">
        <v>2994799</v>
      </c>
    </row>
    <row r="6" spans="1:12" x14ac:dyDescent="0.45">
      <c r="A6" t="s">
        <v>60</v>
      </c>
      <c r="B6" t="s">
        <v>35</v>
      </c>
      <c r="C6">
        <v>50947</v>
      </c>
      <c r="D6">
        <v>56139</v>
      </c>
      <c r="E6">
        <v>60005</v>
      </c>
      <c r="F6">
        <v>69561</v>
      </c>
      <c r="G6">
        <v>63295</v>
      </c>
      <c r="H6">
        <v>66753</v>
      </c>
      <c r="I6">
        <v>62813</v>
      </c>
      <c r="J6">
        <v>83620</v>
      </c>
      <c r="K6">
        <v>107391</v>
      </c>
      <c r="L6">
        <v>90229</v>
      </c>
    </row>
    <row r="7" spans="1:12" x14ac:dyDescent="0.45">
      <c r="A7" t="s">
        <v>61</v>
      </c>
      <c r="B7" t="s">
        <v>36</v>
      </c>
      <c r="C7">
        <v>505268</v>
      </c>
      <c r="D7">
        <v>739455</v>
      </c>
      <c r="E7">
        <v>795030</v>
      </c>
      <c r="F7">
        <v>858792</v>
      </c>
      <c r="G7">
        <v>677992</v>
      </c>
      <c r="H7">
        <v>607104</v>
      </c>
      <c r="I7">
        <v>915711</v>
      </c>
      <c r="J7">
        <v>1682600</v>
      </c>
      <c r="K7">
        <v>941196</v>
      </c>
      <c r="L7">
        <v>1603347</v>
      </c>
    </row>
    <row r="8" spans="1:12" x14ac:dyDescent="0.45">
      <c r="A8" t="s">
        <v>62</v>
      </c>
      <c r="B8" t="s">
        <v>37</v>
      </c>
      <c r="C8">
        <v>526</v>
      </c>
      <c r="D8">
        <v>613</v>
      </c>
      <c r="E8">
        <v>254</v>
      </c>
      <c r="F8">
        <v>59</v>
      </c>
      <c r="G8">
        <v>3</v>
      </c>
      <c r="H8">
        <v>1618</v>
      </c>
      <c r="I8">
        <v>1</v>
      </c>
    </row>
    <row r="9" spans="1:12" x14ac:dyDescent="0.45">
      <c r="A9" t="s">
        <v>63</v>
      </c>
      <c r="B9" t="s">
        <v>38</v>
      </c>
      <c r="C9">
        <v>1432019</v>
      </c>
      <c r="D9">
        <v>1937936</v>
      </c>
      <c r="E9">
        <v>2414312</v>
      </c>
      <c r="F9">
        <v>2841663</v>
      </c>
      <c r="G9">
        <v>2595897</v>
      </c>
      <c r="H9">
        <v>3810909</v>
      </c>
      <c r="I9">
        <v>5252686</v>
      </c>
      <c r="J9">
        <v>5679345</v>
      </c>
      <c r="K9">
        <v>2034472</v>
      </c>
      <c r="L9">
        <v>1301223</v>
      </c>
    </row>
    <row r="10" spans="1:12" x14ac:dyDescent="0.45">
      <c r="A10" t="s">
        <v>64</v>
      </c>
      <c r="B10" t="s">
        <v>39</v>
      </c>
      <c r="C10">
        <v>5335529</v>
      </c>
      <c r="D10">
        <v>5445224</v>
      </c>
      <c r="E10">
        <v>6543041</v>
      </c>
      <c r="F10">
        <v>5720173</v>
      </c>
      <c r="G10">
        <v>4888638</v>
      </c>
      <c r="H10">
        <v>6298053</v>
      </c>
      <c r="I10">
        <v>6977520</v>
      </c>
      <c r="J10">
        <v>7787791</v>
      </c>
      <c r="K10">
        <v>8256978</v>
      </c>
      <c r="L10">
        <v>7755071</v>
      </c>
    </row>
    <row r="11" spans="1:12" x14ac:dyDescent="0.45">
      <c r="A11" t="s">
        <v>65</v>
      </c>
      <c r="B11" t="s">
        <v>40</v>
      </c>
    </row>
    <row r="12" spans="1:12" x14ac:dyDescent="0.45">
      <c r="A12" t="s">
        <v>66</v>
      </c>
      <c r="B12" t="s">
        <v>41</v>
      </c>
      <c r="C12">
        <v>2894941</v>
      </c>
      <c r="D12">
        <v>2945107</v>
      </c>
      <c r="E12">
        <v>3824330</v>
      </c>
      <c r="F12">
        <v>2727401</v>
      </c>
      <c r="G12">
        <v>2475519</v>
      </c>
      <c r="H12">
        <v>2739841</v>
      </c>
      <c r="I12">
        <v>3308956</v>
      </c>
      <c r="J12">
        <v>3473994</v>
      </c>
      <c r="K12">
        <v>3739144</v>
      </c>
      <c r="L12">
        <v>3415212</v>
      </c>
    </row>
    <row r="13" spans="1:12" x14ac:dyDescent="0.45">
      <c r="A13" t="s">
        <v>67</v>
      </c>
      <c r="B13" t="s">
        <v>42</v>
      </c>
      <c r="C13">
        <v>100184</v>
      </c>
      <c r="D13">
        <v>139345</v>
      </c>
      <c r="E13">
        <v>315857</v>
      </c>
      <c r="F13">
        <v>389209</v>
      </c>
      <c r="G13">
        <v>142079</v>
      </c>
      <c r="H13">
        <v>88439</v>
      </c>
      <c r="I13">
        <v>179640</v>
      </c>
      <c r="J13">
        <v>119501</v>
      </c>
      <c r="K13">
        <v>484</v>
      </c>
      <c r="L13">
        <v>26398</v>
      </c>
    </row>
    <row r="14" spans="1:12" x14ac:dyDescent="0.45">
      <c r="A14" t="s">
        <v>68</v>
      </c>
      <c r="B14" t="s">
        <v>43</v>
      </c>
      <c r="C14">
        <v>854131</v>
      </c>
      <c r="D14">
        <v>921135</v>
      </c>
      <c r="E14">
        <v>862992</v>
      </c>
      <c r="F14">
        <v>862617</v>
      </c>
      <c r="G14">
        <v>869685</v>
      </c>
      <c r="H14">
        <v>776517</v>
      </c>
      <c r="I14">
        <v>586565</v>
      </c>
      <c r="J14">
        <v>398645</v>
      </c>
      <c r="K14">
        <v>308711</v>
      </c>
      <c r="L14">
        <v>276241</v>
      </c>
    </row>
    <row r="15" spans="1:12" x14ac:dyDescent="0.45">
      <c r="A15" t="s">
        <v>69</v>
      </c>
      <c r="B15" t="s">
        <v>38</v>
      </c>
      <c r="C15">
        <v>1486272</v>
      </c>
      <c r="D15">
        <v>1439637</v>
      </c>
      <c r="E15">
        <v>1539861</v>
      </c>
      <c r="F15">
        <v>1740946</v>
      </c>
      <c r="G15">
        <v>1401356</v>
      </c>
      <c r="H15">
        <v>2693256</v>
      </c>
      <c r="I15">
        <v>2902358</v>
      </c>
      <c r="J15">
        <v>3795652</v>
      </c>
      <c r="K15">
        <v>4208640</v>
      </c>
      <c r="L15">
        <v>4037221</v>
      </c>
    </row>
    <row r="16" spans="1:12" x14ac:dyDescent="0.45">
      <c r="A16" t="s">
        <v>70</v>
      </c>
      <c r="B16" t="s">
        <v>44</v>
      </c>
      <c r="C16">
        <v>631718</v>
      </c>
      <c r="D16">
        <v>624929</v>
      </c>
      <c r="E16">
        <v>645608</v>
      </c>
      <c r="F16">
        <v>716121</v>
      </c>
      <c r="G16">
        <v>756469</v>
      </c>
      <c r="H16">
        <v>728632</v>
      </c>
      <c r="I16">
        <v>711962</v>
      </c>
      <c r="J16">
        <v>793647</v>
      </c>
      <c r="K16">
        <v>977482</v>
      </c>
      <c r="L16">
        <v>1005628</v>
      </c>
    </row>
    <row r="17" spans="1:12" x14ac:dyDescent="0.45">
      <c r="A17" t="s">
        <v>71</v>
      </c>
      <c r="B17" t="s">
        <v>45</v>
      </c>
    </row>
    <row r="18" spans="1:12" x14ac:dyDescent="0.45">
      <c r="A18" t="s">
        <v>72</v>
      </c>
      <c r="B18" t="s">
        <v>46</v>
      </c>
      <c r="C18">
        <v>11229</v>
      </c>
      <c r="D18">
        <v>10942</v>
      </c>
      <c r="E18">
        <v>12611</v>
      </c>
      <c r="F18">
        <v>11077</v>
      </c>
      <c r="G18">
        <v>15452</v>
      </c>
      <c r="H18">
        <v>16233</v>
      </c>
      <c r="I18">
        <v>19932</v>
      </c>
      <c r="J18">
        <v>17119</v>
      </c>
      <c r="K18">
        <v>15442</v>
      </c>
      <c r="L18">
        <v>19010</v>
      </c>
    </row>
    <row r="19" spans="1:12" x14ac:dyDescent="0.45">
      <c r="A19" t="s">
        <v>73</v>
      </c>
      <c r="B19" t="s">
        <v>47</v>
      </c>
      <c r="C19">
        <v>3772</v>
      </c>
      <c r="D19">
        <v>3278</v>
      </c>
      <c r="E19">
        <v>4328</v>
      </c>
      <c r="F19">
        <v>4268</v>
      </c>
      <c r="G19">
        <v>4138</v>
      </c>
      <c r="H19">
        <v>1697</v>
      </c>
      <c r="I19">
        <v>1746</v>
      </c>
      <c r="J19">
        <v>5548</v>
      </c>
      <c r="K19">
        <v>6984</v>
      </c>
      <c r="L19">
        <v>4606</v>
      </c>
    </row>
    <row r="20" spans="1:12" x14ac:dyDescent="0.45">
      <c r="A20" t="s">
        <v>74</v>
      </c>
      <c r="B20" t="s">
        <v>48</v>
      </c>
      <c r="C20">
        <v>557661</v>
      </c>
      <c r="D20">
        <v>543232</v>
      </c>
      <c r="E20">
        <v>557210</v>
      </c>
      <c r="F20">
        <v>622414</v>
      </c>
      <c r="G20">
        <v>668597</v>
      </c>
      <c r="H20">
        <v>643671</v>
      </c>
      <c r="I20">
        <v>598485</v>
      </c>
      <c r="J20">
        <v>682080</v>
      </c>
      <c r="K20">
        <v>848042</v>
      </c>
      <c r="L20">
        <v>885998</v>
      </c>
    </row>
    <row r="21" spans="1:12" x14ac:dyDescent="0.45">
      <c r="A21" t="s">
        <v>75</v>
      </c>
      <c r="B21" t="s">
        <v>49</v>
      </c>
      <c r="C21">
        <v>8406</v>
      </c>
      <c r="D21">
        <v>8583</v>
      </c>
      <c r="E21">
        <v>7962</v>
      </c>
      <c r="F21">
        <v>7287</v>
      </c>
      <c r="G21">
        <v>5339</v>
      </c>
      <c r="H21">
        <v>1992</v>
      </c>
      <c r="I21">
        <v>932</v>
      </c>
      <c r="J21">
        <v>1041</v>
      </c>
      <c r="K21">
        <v>1136</v>
      </c>
      <c r="L21">
        <v>1087</v>
      </c>
    </row>
    <row r="22" spans="1:12" x14ac:dyDescent="0.45">
      <c r="A22" t="s">
        <v>76</v>
      </c>
      <c r="B22" t="s">
        <v>50</v>
      </c>
      <c r="C22">
        <v>2360</v>
      </c>
      <c r="D22">
        <v>3230</v>
      </c>
      <c r="E22">
        <v>4961</v>
      </c>
      <c r="F22">
        <v>8165</v>
      </c>
      <c r="G22">
        <v>7623</v>
      </c>
      <c r="H22">
        <v>7730</v>
      </c>
      <c r="I22">
        <v>5279</v>
      </c>
      <c r="J22">
        <v>7427</v>
      </c>
      <c r="K22">
        <v>7721</v>
      </c>
      <c r="L22">
        <v>5759</v>
      </c>
    </row>
    <row r="23" spans="1:12" x14ac:dyDescent="0.45">
      <c r="A23" t="s">
        <v>77</v>
      </c>
      <c r="B23" t="s">
        <v>51</v>
      </c>
      <c r="C23">
        <v>4332</v>
      </c>
      <c r="D23">
        <v>3789</v>
      </c>
      <c r="E23">
        <v>3670</v>
      </c>
      <c r="F23">
        <v>3177</v>
      </c>
      <c r="G23">
        <v>3500</v>
      </c>
      <c r="H23">
        <v>3066</v>
      </c>
      <c r="I23">
        <v>2829</v>
      </c>
      <c r="J23">
        <v>3267</v>
      </c>
      <c r="K23">
        <v>2990</v>
      </c>
      <c r="L23">
        <v>3304</v>
      </c>
    </row>
    <row r="24" spans="1:12" x14ac:dyDescent="0.45">
      <c r="A24" t="s">
        <v>78</v>
      </c>
      <c r="B24" t="s">
        <v>38</v>
      </c>
      <c r="C24">
        <v>43959</v>
      </c>
      <c r="D24">
        <v>51876</v>
      </c>
      <c r="E24">
        <v>54866</v>
      </c>
      <c r="F24">
        <v>59732</v>
      </c>
      <c r="G24">
        <v>51819</v>
      </c>
      <c r="H24">
        <v>54243</v>
      </c>
      <c r="I24">
        <v>82759</v>
      </c>
      <c r="J24">
        <v>77165</v>
      </c>
      <c r="K24">
        <v>95167</v>
      </c>
      <c r="L24">
        <v>85864</v>
      </c>
    </row>
    <row r="25" spans="1:12" x14ac:dyDescent="0.45">
      <c r="A25" t="s">
        <v>79</v>
      </c>
      <c r="B25" t="s">
        <v>41</v>
      </c>
    </row>
    <row r="26" spans="1:12" x14ac:dyDescent="0.45">
      <c r="A26" t="s">
        <v>80</v>
      </c>
      <c r="B26" t="s">
        <v>52</v>
      </c>
      <c r="C26">
        <v>350130</v>
      </c>
      <c r="D26">
        <v>353709</v>
      </c>
      <c r="E26">
        <v>343834</v>
      </c>
      <c r="F26">
        <v>372873</v>
      </c>
      <c r="G26">
        <v>379915</v>
      </c>
      <c r="H26">
        <v>127434</v>
      </c>
      <c r="I26">
        <v>130072</v>
      </c>
      <c r="J26">
        <v>168495</v>
      </c>
      <c r="K26">
        <v>258343</v>
      </c>
      <c r="L26">
        <v>253558</v>
      </c>
    </row>
    <row r="27" spans="1:12" x14ac:dyDescent="0.45">
      <c r="A27" t="s">
        <v>81</v>
      </c>
      <c r="B27" t="s">
        <v>53</v>
      </c>
      <c r="C27">
        <v>60415</v>
      </c>
      <c r="D27">
        <v>90372</v>
      </c>
      <c r="E27">
        <v>50140</v>
      </c>
      <c r="F27">
        <v>73411</v>
      </c>
      <c r="G27">
        <v>98622</v>
      </c>
      <c r="H27">
        <v>104098</v>
      </c>
      <c r="I27">
        <v>159921</v>
      </c>
      <c r="J27">
        <v>97908</v>
      </c>
      <c r="K27">
        <v>177600</v>
      </c>
      <c r="L27">
        <v>115609</v>
      </c>
    </row>
    <row r="28" spans="1:12" x14ac:dyDescent="0.45">
      <c r="A28" t="s">
        <v>82</v>
      </c>
      <c r="B28" t="s">
        <v>54</v>
      </c>
      <c r="C28">
        <v>2765</v>
      </c>
      <c r="D28">
        <v>4768</v>
      </c>
      <c r="E28">
        <v>2500</v>
      </c>
      <c r="F28">
        <v>2969</v>
      </c>
      <c r="G28">
        <v>2589</v>
      </c>
      <c r="H28">
        <v>2582</v>
      </c>
      <c r="I28">
        <v>498</v>
      </c>
      <c r="J28">
        <v>224</v>
      </c>
      <c r="K28">
        <v>90</v>
      </c>
      <c r="L28">
        <v>25</v>
      </c>
    </row>
    <row r="29" spans="1:12" x14ac:dyDescent="0.45">
      <c r="A29" t="s">
        <v>83</v>
      </c>
      <c r="B29" t="s">
        <v>55</v>
      </c>
      <c r="C29">
        <v>7335</v>
      </c>
      <c r="D29">
        <v>123942</v>
      </c>
      <c r="E29">
        <v>111702</v>
      </c>
      <c r="F29">
        <v>57565</v>
      </c>
      <c r="G29">
        <v>53995</v>
      </c>
      <c r="J29">
        <v>26322</v>
      </c>
    </row>
    <row r="30" spans="1:12" x14ac:dyDescent="0.45">
      <c r="A30" t="s">
        <v>84</v>
      </c>
      <c r="B30" t="s">
        <v>56</v>
      </c>
    </row>
    <row r="31" spans="1:12" x14ac:dyDescent="0.45">
      <c r="A31" t="s">
        <v>85</v>
      </c>
      <c r="B31" t="s">
        <v>57</v>
      </c>
      <c r="C31">
        <v>2815767</v>
      </c>
      <c r="D31">
        <v>2767578</v>
      </c>
      <c r="E31">
        <v>2703119</v>
      </c>
      <c r="F31">
        <v>3866808</v>
      </c>
      <c r="G31">
        <v>1677865</v>
      </c>
      <c r="H31">
        <v>1293644</v>
      </c>
      <c r="I31">
        <v>1424798</v>
      </c>
      <c r="J31">
        <v>2647663</v>
      </c>
      <c r="K31">
        <v>2793277</v>
      </c>
      <c r="L31">
        <v>2005589</v>
      </c>
    </row>
    <row r="32" spans="1:12" x14ac:dyDescent="0.45">
      <c r="A32" t="s">
        <v>86</v>
      </c>
      <c r="B32" t="s">
        <v>58</v>
      </c>
      <c r="C32">
        <v>39913181</v>
      </c>
      <c r="D32">
        <v>33813955</v>
      </c>
      <c r="E32">
        <v>20719557</v>
      </c>
      <c r="F32">
        <v>15746501</v>
      </c>
      <c r="G32">
        <v>35012396</v>
      </c>
      <c r="H32">
        <v>103048027</v>
      </c>
      <c r="I32">
        <v>90222508</v>
      </c>
      <c r="J32">
        <v>86478228</v>
      </c>
      <c r="K32">
        <v>55690789</v>
      </c>
      <c r="L32">
        <v>97008237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00B0-C6B5-4E5B-B524-74E0C847E9B4}">
  <dimension ref="A1:K31"/>
  <sheetViews>
    <sheetView zoomScale="85" zoomScaleNormal="85" workbookViewId="0">
      <selection activeCell="O52" sqref="O52"/>
    </sheetView>
  </sheetViews>
  <sheetFormatPr defaultRowHeight="17" x14ac:dyDescent="0.45"/>
  <cols>
    <col min="1" max="1" width="23.08203125" customWidth="1"/>
    <col min="2" max="3" width="10.5" bestFit="1" customWidth="1"/>
    <col min="4" max="4" width="10" bestFit="1" customWidth="1"/>
    <col min="5" max="5" width="10.5" bestFit="1" customWidth="1"/>
    <col min="6" max="6" width="22" bestFit="1" customWidth="1"/>
    <col min="7" max="7" width="7.75" bestFit="1" customWidth="1"/>
    <col min="8" max="8" width="17.83203125" bestFit="1" customWidth="1"/>
    <col min="9" max="9" width="7.33203125" bestFit="1" customWidth="1"/>
  </cols>
  <sheetData>
    <row r="1" spans="1:11" x14ac:dyDescent="0.45">
      <c r="A1" t="s">
        <v>172</v>
      </c>
    </row>
    <row r="2" spans="1:11" x14ac:dyDescent="0.45">
      <c r="A2" t="s">
        <v>173</v>
      </c>
    </row>
    <row r="5" spans="1:11" x14ac:dyDescent="0.45">
      <c r="A5" t="s">
        <v>2</v>
      </c>
      <c r="B5" t="s">
        <v>154</v>
      </c>
      <c r="C5" t="s">
        <v>155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K5" t="s">
        <v>180</v>
      </c>
    </row>
    <row r="6" spans="1:11" x14ac:dyDescent="0.45">
      <c r="A6" t="s">
        <v>4</v>
      </c>
      <c r="B6">
        <v>553997680</v>
      </c>
      <c r="C6">
        <v>529462952</v>
      </c>
      <c r="D6">
        <v>100</v>
      </c>
      <c r="E6">
        <v>490414468</v>
      </c>
      <c r="F6">
        <v>24534729</v>
      </c>
      <c r="G6">
        <v>4.4000000000000004</v>
      </c>
      <c r="H6">
        <v>39048484</v>
      </c>
      <c r="I6">
        <v>8</v>
      </c>
    </row>
    <row r="7" spans="1:11" x14ac:dyDescent="0.45">
      <c r="A7" t="s">
        <v>156</v>
      </c>
      <c r="B7">
        <v>104266587</v>
      </c>
      <c r="C7">
        <v>101632562</v>
      </c>
      <c r="D7">
        <v>19.2</v>
      </c>
      <c r="E7">
        <v>88244442</v>
      </c>
      <c r="F7">
        <v>2634025</v>
      </c>
      <c r="G7">
        <v>2.5</v>
      </c>
      <c r="H7">
        <v>13388120</v>
      </c>
      <c r="I7">
        <v>15.2</v>
      </c>
      <c r="K7">
        <f>RANK(C7,$C$7:$C$22)</f>
        <v>2</v>
      </c>
    </row>
    <row r="8" spans="1:11" x14ac:dyDescent="0.45">
      <c r="A8" t="s">
        <v>157</v>
      </c>
      <c r="B8">
        <v>24136885</v>
      </c>
      <c r="C8">
        <v>23762215</v>
      </c>
      <c r="D8">
        <v>4.5</v>
      </c>
      <c r="E8">
        <v>22170510</v>
      </c>
      <c r="F8">
        <v>374670</v>
      </c>
      <c r="G8">
        <v>1.6</v>
      </c>
      <c r="H8">
        <v>1591706</v>
      </c>
      <c r="I8">
        <v>7.2</v>
      </c>
      <c r="K8">
        <f t="shared" ref="K8:K22" si="0">RANK(C8,$C$7:$C$22)</f>
        <v>7</v>
      </c>
    </row>
    <row r="9" spans="1:11" x14ac:dyDescent="0.45">
      <c r="A9" t="s">
        <v>158</v>
      </c>
      <c r="B9">
        <v>4523968</v>
      </c>
      <c r="C9">
        <v>4344570</v>
      </c>
      <c r="D9">
        <v>0.8</v>
      </c>
      <c r="E9">
        <v>3494193</v>
      </c>
      <c r="F9">
        <v>179398</v>
      </c>
      <c r="G9">
        <v>4</v>
      </c>
      <c r="H9">
        <v>850377</v>
      </c>
      <c r="I9">
        <v>24.3</v>
      </c>
      <c r="K9">
        <f t="shared" si="0"/>
        <v>15</v>
      </c>
    </row>
    <row r="10" spans="1:11" x14ac:dyDescent="0.45">
      <c r="A10" t="s">
        <v>159</v>
      </c>
      <c r="B10">
        <v>62383283</v>
      </c>
      <c r="C10">
        <v>60035756</v>
      </c>
      <c r="D10">
        <v>11.3</v>
      </c>
      <c r="E10">
        <v>57637727</v>
      </c>
      <c r="F10">
        <v>2347527</v>
      </c>
      <c r="G10">
        <v>3.8</v>
      </c>
      <c r="H10">
        <v>2398029</v>
      </c>
      <c r="I10">
        <v>4.2</v>
      </c>
      <c r="K10">
        <f t="shared" si="0"/>
        <v>4</v>
      </c>
    </row>
    <row r="11" spans="1:11" x14ac:dyDescent="0.45">
      <c r="A11" t="s">
        <v>160</v>
      </c>
      <c r="B11">
        <v>109982241</v>
      </c>
      <c r="C11">
        <v>105275933</v>
      </c>
      <c r="D11">
        <v>19.899999999999999</v>
      </c>
      <c r="E11">
        <v>99436880</v>
      </c>
      <c r="F11">
        <v>4706308</v>
      </c>
      <c r="G11">
        <v>4.3</v>
      </c>
      <c r="H11">
        <v>5839053</v>
      </c>
      <c r="I11">
        <v>5.9</v>
      </c>
      <c r="K11">
        <f t="shared" si="0"/>
        <v>1</v>
      </c>
    </row>
    <row r="12" spans="1:11" x14ac:dyDescent="0.45">
      <c r="A12" t="s">
        <v>161</v>
      </c>
      <c r="B12">
        <v>5234085</v>
      </c>
      <c r="C12">
        <v>4960532</v>
      </c>
      <c r="D12">
        <v>0.9</v>
      </c>
      <c r="E12">
        <v>4859367</v>
      </c>
      <c r="F12">
        <v>273552</v>
      </c>
      <c r="G12">
        <v>5.2</v>
      </c>
      <c r="H12">
        <v>101166</v>
      </c>
      <c r="I12">
        <v>2.1</v>
      </c>
      <c r="K12">
        <f t="shared" si="0"/>
        <v>14</v>
      </c>
    </row>
    <row r="13" spans="1:11" x14ac:dyDescent="0.45">
      <c r="A13" t="s">
        <v>162</v>
      </c>
      <c r="B13">
        <v>18138941</v>
      </c>
      <c r="C13">
        <v>16288580</v>
      </c>
      <c r="D13">
        <v>3.1</v>
      </c>
      <c r="E13">
        <v>15941175</v>
      </c>
      <c r="F13">
        <v>1850360</v>
      </c>
      <c r="G13">
        <v>10.199999999999999</v>
      </c>
      <c r="H13">
        <v>347405</v>
      </c>
      <c r="I13">
        <v>2.2000000000000002</v>
      </c>
      <c r="K13">
        <f t="shared" si="0"/>
        <v>9</v>
      </c>
    </row>
    <row r="14" spans="1:11" x14ac:dyDescent="0.45">
      <c r="A14" t="s">
        <v>163</v>
      </c>
      <c r="B14">
        <v>85956604</v>
      </c>
      <c r="C14">
        <v>84533985</v>
      </c>
      <c r="D14">
        <v>16</v>
      </c>
      <c r="E14">
        <v>77853242</v>
      </c>
      <c r="F14">
        <v>1422619</v>
      </c>
      <c r="G14">
        <v>1.7</v>
      </c>
      <c r="H14">
        <v>6680743</v>
      </c>
      <c r="I14">
        <v>8.6</v>
      </c>
      <c r="K14">
        <f t="shared" si="0"/>
        <v>3</v>
      </c>
    </row>
    <row r="15" spans="1:11" x14ac:dyDescent="0.45">
      <c r="A15" t="s">
        <v>164</v>
      </c>
      <c r="B15">
        <v>16383421</v>
      </c>
      <c r="C15">
        <v>16266748</v>
      </c>
      <c r="D15">
        <v>3.1</v>
      </c>
      <c r="E15">
        <v>17228625</v>
      </c>
      <c r="F15">
        <v>116673</v>
      </c>
      <c r="G15">
        <v>0.7</v>
      </c>
      <c r="H15">
        <v>-961877</v>
      </c>
      <c r="I15">
        <v>-5.6</v>
      </c>
      <c r="K15">
        <f t="shared" si="0"/>
        <v>10</v>
      </c>
    </row>
    <row r="16" spans="1:11" x14ac:dyDescent="0.45">
      <c r="A16" t="s">
        <v>165</v>
      </c>
      <c r="B16">
        <v>30223068</v>
      </c>
      <c r="C16">
        <v>27612406</v>
      </c>
      <c r="D16">
        <v>5.2</v>
      </c>
      <c r="E16">
        <v>27916009</v>
      </c>
      <c r="F16">
        <v>2610662</v>
      </c>
      <c r="G16">
        <v>8.6</v>
      </c>
      <c r="H16">
        <v>-303604</v>
      </c>
      <c r="I16">
        <v>-1.1000000000000001</v>
      </c>
      <c r="K16">
        <f t="shared" si="0"/>
        <v>6</v>
      </c>
    </row>
    <row r="17" spans="1:11" x14ac:dyDescent="0.45">
      <c r="A17" t="s">
        <v>166</v>
      </c>
      <c r="B17">
        <v>18845738</v>
      </c>
      <c r="C17">
        <v>18397688</v>
      </c>
      <c r="D17">
        <v>3.5</v>
      </c>
      <c r="E17">
        <v>17601721</v>
      </c>
      <c r="F17">
        <v>448049</v>
      </c>
      <c r="G17">
        <v>2.4</v>
      </c>
      <c r="H17">
        <v>795968</v>
      </c>
      <c r="I17">
        <v>4.5</v>
      </c>
      <c r="K17">
        <f t="shared" si="0"/>
        <v>8</v>
      </c>
    </row>
    <row r="18" spans="1:11" x14ac:dyDescent="0.45">
      <c r="A18" t="s">
        <v>167</v>
      </c>
      <c r="B18">
        <v>36440803</v>
      </c>
      <c r="C18">
        <v>33542973</v>
      </c>
      <c r="D18">
        <v>6.3</v>
      </c>
      <c r="E18">
        <v>27872563</v>
      </c>
      <c r="F18">
        <v>2897830</v>
      </c>
      <c r="G18">
        <v>8</v>
      </c>
      <c r="H18">
        <v>5670410</v>
      </c>
      <c r="I18">
        <v>20.3</v>
      </c>
      <c r="K18">
        <f t="shared" si="0"/>
        <v>5</v>
      </c>
    </row>
    <row r="19" spans="1:11" x14ac:dyDescent="0.45">
      <c r="A19" t="s">
        <v>168</v>
      </c>
      <c r="B19">
        <v>13742799</v>
      </c>
      <c r="C19">
        <v>12458484</v>
      </c>
      <c r="D19">
        <v>2.4</v>
      </c>
      <c r="E19">
        <v>11347457</v>
      </c>
      <c r="F19">
        <v>1284315</v>
      </c>
      <c r="G19">
        <v>9.3000000000000007</v>
      </c>
      <c r="H19">
        <v>1111027</v>
      </c>
      <c r="I19">
        <v>9.8000000000000007</v>
      </c>
      <c r="K19">
        <f t="shared" si="0"/>
        <v>11</v>
      </c>
    </row>
    <row r="20" spans="1:11" x14ac:dyDescent="0.45">
      <c r="A20" t="s">
        <v>169</v>
      </c>
      <c r="B20">
        <v>11564550</v>
      </c>
      <c r="C20">
        <v>10835351</v>
      </c>
      <c r="D20">
        <v>2</v>
      </c>
      <c r="E20">
        <v>8941822</v>
      </c>
      <c r="F20">
        <v>729200</v>
      </c>
      <c r="G20">
        <v>6.3</v>
      </c>
      <c r="H20">
        <v>1893529</v>
      </c>
      <c r="I20">
        <v>21.2</v>
      </c>
      <c r="K20">
        <f t="shared" si="0"/>
        <v>12</v>
      </c>
    </row>
    <row r="21" spans="1:11" x14ac:dyDescent="0.45">
      <c r="A21" t="s">
        <v>170</v>
      </c>
      <c r="B21">
        <v>8990880</v>
      </c>
      <c r="C21">
        <v>8876869</v>
      </c>
      <c r="D21">
        <v>1.7</v>
      </c>
      <c r="E21">
        <v>9261537</v>
      </c>
      <c r="F21">
        <v>114011</v>
      </c>
      <c r="G21">
        <v>1.3</v>
      </c>
      <c r="H21">
        <v>-384668</v>
      </c>
      <c r="I21">
        <v>-4.2</v>
      </c>
      <c r="K21">
        <f t="shared" si="0"/>
        <v>13</v>
      </c>
    </row>
    <row r="22" spans="1:11" x14ac:dyDescent="0.45">
      <c r="A22" t="s">
        <v>171</v>
      </c>
      <c r="B22">
        <v>3183828</v>
      </c>
      <c r="C22">
        <v>638300</v>
      </c>
      <c r="D22">
        <v>0.1</v>
      </c>
      <c r="E22">
        <v>607200</v>
      </c>
      <c r="F22">
        <v>2545528</v>
      </c>
      <c r="G22">
        <v>80</v>
      </c>
      <c r="H22">
        <v>31100</v>
      </c>
      <c r="I22">
        <v>5.0999999999999996</v>
      </c>
      <c r="K22">
        <f t="shared" si="0"/>
        <v>16</v>
      </c>
    </row>
    <row r="25" spans="1:11" x14ac:dyDescent="0.45">
      <c r="A25" t="s">
        <v>182</v>
      </c>
      <c r="B25" t="s">
        <v>181</v>
      </c>
    </row>
    <row r="26" spans="1:11" x14ac:dyDescent="0.45">
      <c r="A26" t="str">
        <f>A11</f>
        <v>교육</v>
      </c>
      <c r="B26">
        <f>D11</f>
        <v>19.899999999999999</v>
      </c>
    </row>
    <row r="27" spans="1:11" x14ac:dyDescent="0.45">
      <c r="A27" t="str">
        <f>A7</f>
        <v>일반·지방행정</v>
      </c>
      <c r="B27">
        <f>D7</f>
        <v>19.2</v>
      </c>
    </row>
    <row r="28" spans="1:11" x14ac:dyDescent="0.45">
      <c r="A28" t="str">
        <f>A14</f>
        <v>사회복지</v>
      </c>
      <c r="B28">
        <f>D14</f>
        <v>16</v>
      </c>
    </row>
    <row r="29" spans="1:11" x14ac:dyDescent="0.45">
      <c r="A29" t="str">
        <f>A10</f>
        <v>국방</v>
      </c>
      <c r="B29">
        <f>D10</f>
        <v>11.3</v>
      </c>
    </row>
    <row r="30" spans="1:11" x14ac:dyDescent="0.45">
      <c r="A30" t="str">
        <f>A18</f>
        <v>교통및물류</v>
      </c>
      <c r="B30">
        <f>D18</f>
        <v>6.3</v>
      </c>
    </row>
    <row r="31" spans="1:11" x14ac:dyDescent="0.45">
      <c r="A31" t="s">
        <v>183</v>
      </c>
      <c r="B31">
        <f>100-SUM(B26:B30)</f>
        <v>27.300000000000011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9BF4-E830-42F7-B86B-5B9A064320EC}">
  <dimension ref="A1:K44"/>
  <sheetViews>
    <sheetView zoomScale="70" zoomScaleNormal="70" workbookViewId="0">
      <selection activeCell="H62" sqref="H62"/>
    </sheetView>
  </sheetViews>
  <sheetFormatPr defaultRowHeight="17" x14ac:dyDescent="0.45"/>
  <cols>
    <col min="1" max="1" width="15.08203125" bestFit="1" customWidth="1"/>
    <col min="2" max="3" width="10.5" bestFit="1" customWidth="1"/>
    <col min="4" max="4" width="10" bestFit="1" customWidth="1"/>
    <col min="5" max="5" width="10.5" bestFit="1" customWidth="1"/>
    <col min="6" max="6" width="17.25" bestFit="1" customWidth="1"/>
    <col min="7" max="7" width="13.75" bestFit="1" customWidth="1"/>
    <col min="8" max="8" width="13" bestFit="1" customWidth="1"/>
    <col min="9" max="9" width="21.58203125" bestFit="1" customWidth="1"/>
  </cols>
  <sheetData>
    <row r="1" spans="1:11" x14ac:dyDescent="0.45">
      <c r="A1" t="s">
        <v>172</v>
      </c>
    </row>
    <row r="2" spans="1:11" x14ac:dyDescent="0.45">
      <c r="A2" t="s">
        <v>218</v>
      </c>
    </row>
    <row r="5" spans="1:11" x14ac:dyDescent="0.45">
      <c r="A5" t="s">
        <v>2</v>
      </c>
      <c r="B5" t="s">
        <v>154</v>
      </c>
      <c r="C5" t="s">
        <v>184</v>
      </c>
      <c r="D5" t="s">
        <v>174</v>
      </c>
      <c r="E5" t="s">
        <v>175</v>
      </c>
      <c r="F5" t="s">
        <v>214</v>
      </c>
      <c r="G5" t="s">
        <v>215</v>
      </c>
      <c r="H5" t="s">
        <v>216</v>
      </c>
      <c r="I5" t="s">
        <v>217</v>
      </c>
      <c r="K5" t="s">
        <v>180</v>
      </c>
    </row>
    <row r="6" spans="1:11" x14ac:dyDescent="0.45">
      <c r="A6" t="s">
        <v>4</v>
      </c>
      <c r="B6">
        <v>553997680</v>
      </c>
      <c r="C6">
        <v>529462952</v>
      </c>
      <c r="D6">
        <v>100</v>
      </c>
      <c r="E6">
        <v>490414468</v>
      </c>
      <c r="F6">
        <v>24534729</v>
      </c>
      <c r="G6">
        <v>4.4000000000000004</v>
      </c>
      <c r="H6">
        <v>39048484</v>
      </c>
      <c r="I6">
        <v>8</v>
      </c>
    </row>
    <row r="7" spans="1:11" x14ac:dyDescent="0.45">
      <c r="A7" t="s">
        <v>185</v>
      </c>
      <c r="B7">
        <v>47508735</v>
      </c>
      <c r="C7">
        <v>46867061</v>
      </c>
      <c r="D7" s="2">
        <v>8.9</v>
      </c>
      <c r="E7">
        <v>44810387</v>
      </c>
      <c r="F7">
        <v>641674</v>
      </c>
      <c r="G7">
        <v>1.4</v>
      </c>
      <c r="H7">
        <v>2056675</v>
      </c>
      <c r="I7">
        <v>4.5999999999999996</v>
      </c>
    </row>
    <row r="8" spans="1:11" x14ac:dyDescent="0.45">
      <c r="A8" t="s">
        <v>186</v>
      </c>
      <c r="B8">
        <v>30571939</v>
      </c>
      <c r="C8">
        <v>29487082</v>
      </c>
      <c r="D8" s="2">
        <v>5.6</v>
      </c>
      <c r="E8">
        <v>29688699</v>
      </c>
      <c r="F8">
        <v>1084857</v>
      </c>
      <c r="G8">
        <v>3.5</v>
      </c>
      <c r="H8">
        <v>-201617</v>
      </c>
      <c r="I8">
        <v>-0.7</v>
      </c>
    </row>
    <row r="9" spans="1:11" x14ac:dyDescent="0.45">
      <c r="A9" s="4" t="s">
        <v>187</v>
      </c>
      <c r="B9">
        <v>24768329</v>
      </c>
      <c r="C9">
        <v>24067549</v>
      </c>
      <c r="D9">
        <v>4.5</v>
      </c>
      <c r="E9">
        <v>24143828</v>
      </c>
      <c r="F9">
        <v>700780</v>
      </c>
      <c r="G9">
        <v>2.8</v>
      </c>
      <c r="H9">
        <v>-76279</v>
      </c>
      <c r="I9">
        <v>-0.3</v>
      </c>
    </row>
    <row r="10" spans="1:11" x14ac:dyDescent="0.45">
      <c r="A10" s="4" t="s">
        <v>188</v>
      </c>
      <c r="B10">
        <v>712495</v>
      </c>
      <c r="C10">
        <v>669753</v>
      </c>
      <c r="D10">
        <v>2.2999999999999998</v>
      </c>
      <c r="E10">
        <v>656138</v>
      </c>
      <c r="F10">
        <v>42742</v>
      </c>
      <c r="G10">
        <v>6</v>
      </c>
      <c r="H10">
        <v>13615</v>
      </c>
      <c r="I10">
        <v>2.1</v>
      </c>
    </row>
    <row r="11" spans="1:11" x14ac:dyDescent="0.45">
      <c r="A11" s="4" t="s">
        <v>189</v>
      </c>
      <c r="B11">
        <v>123266</v>
      </c>
      <c r="C11">
        <v>119496</v>
      </c>
      <c r="D11">
        <v>0.4</v>
      </c>
      <c r="E11">
        <v>129558</v>
      </c>
      <c r="F11">
        <v>3771</v>
      </c>
      <c r="G11">
        <v>3.1</v>
      </c>
      <c r="H11">
        <v>-10063</v>
      </c>
      <c r="I11">
        <v>-7.8</v>
      </c>
    </row>
    <row r="12" spans="1:11" x14ac:dyDescent="0.45">
      <c r="A12" s="4" t="s">
        <v>190</v>
      </c>
      <c r="B12">
        <v>182195</v>
      </c>
      <c r="C12">
        <v>175306</v>
      </c>
      <c r="D12">
        <v>0.6</v>
      </c>
      <c r="E12">
        <v>172059</v>
      </c>
      <c r="F12">
        <v>6889</v>
      </c>
      <c r="G12">
        <v>3.8</v>
      </c>
      <c r="H12">
        <v>3247</v>
      </c>
      <c r="I12">
        <v>1.9</v>
      </c>
    </row>
    <row r="13" spans="1:11" x14ac:dyDescent="0.45">
      <c r="A13" s="4" t="s">
        <v>191</v>
      </c>
      <c r="B13">
        <v>1064534</v>
      </c>
      <c r="C13">
        <v>1049580</v>
      </c>
      <c r="D13">
        <v>3.6</v>
      </c>
      <c r="E13">
        <v>1039090</v>
      </c>
      <c r="F13">
        <v>14954</v>
      </c>
      <c r="G13">
        <v>1.4</v>
      </c>
      <c r="H13">
        <v>10490</v>
      </c>
      <c r="I13">
        <v>1</v>
      </c>
    </row>
    <row r="14" spans="1:11" x14ac:dyDescent="0.45">
      <c r="A14" s="4" t="s">
        <v>192</v>
      </c>
      <c r="B14">
        <v>2677357</v>
      </c>
      <c r="C14">
        <v>2450432</v>
      </c>
      <c r="D14">
        <v>8.3000000000000007</v>
      </c>
      <c r="E14">
        <v>2640074</v>
      </c>
      <c r="F14">
        <v>226925</v>
      </c>
      <c r="G14">
        <v>8.5</v>
      </c>
      <c r="H14">
        <v>-189642</v>
      </c>
      <c r="I14">
        <v>-7.2</v>
      </c>
    </row>
    <row r="15" spans="1:11" x14ac:dyDescent="0.45">
      <c r="A15" s="4" t="s">
        <v>193</v>
      </c>
      <c r="B15">
        <v>892100</v>
      </c>
      <c r="C15">
        <v>824491</v>
      </c>
      <c r="D15">
        <v>2.8</v>
      </c>
      <c r="E15">
        <v>804591</v>
      </c>
      <c r="F15">
        <v>67609</v>
      </c>
      <c r="G15">
        <v>7.6</v>
      </c>
      <c r="H15">
        <v>19900</v>
      </c>
      <c r="I15">
        <v>2.5</v>
      </c>
    </row>
    <row r="16" spans="1:11" x14ac:dyDescent="0.45">
      <c r="A16" s="4" t="s">
        <v>194</v>
      </c>
      <c r="B16">
        <v>151662</v>
      </c>
      <c r="C16">
        <v>130474</v>
      </c>
      <c r="D16">
        <v>0.4</v>
      </c>
      <c r="E16">
        <v>103360</v>
      </c>
      <c r="F16">
        <v>21188</v>
      </c>
      <c r="G16">
        <v>14</v>
      </c>
      <c r="H16">
        <v>27114</v>
      </c>
      <c r="I16">
        <v>26.2</v>
      </c>
    </row>
    <row r="17" spans="1:9" x14ac:dyDescent="0.45">
      <c r="A17" t="s">
        <v>195</v>
      </c>
      <c r="B17">
        <v>318045703</v>
      </c>
      <c r="C17">
        <v>306528786</v>
      </c>
      <c r="D17" s="2">
        <v>57.9</v>
      </c>
      <c r="E17">
        <v>301866968</v>
      </c>
      <c r="F17">
        <v>11516917</v>
      </c>
      <c r="G17">
        <v>3.6</v>
      </c>
      <c r="H17">
        <v>4661818</v>
      </c>
      <c r="I17">
        <v>1.5</v>
      </c>
    </row>
    <row r="18" spans="1:9" x14ac:dyDescent="0.45">
      <c r="A18" s="4" t="s">
        <v>196</v>
      </c>
      <c r="B18">
        <v>26396045</v>
      </c>
      <c r="C18">
        <v>26005827</v>
      </c>
      <c r="D18">
        <v>8.5</v>
      </c>
      <c r="E18">
        <v>24186363</v>
      </c>
      <c r="F18">
        <v>390217</v>
      </c>
      <c r="G18">
        <v>1.5</v>
      </c>
      <c r="H18">
        <v>1819464</v>
      </c>
      <c r="I18">
        <v>7.5</v>
      </c>
    </row>
    <row r="19" spans="1:9" x14ac:dyDescent="0.45">
      <c r="A19" s="4" t="s">
        <v>197</v>
      </c>
      <c r="B19">
        <v>21640590</v>
      </c>
      <c r="C19">
        <v>20639354</v>
      </c>
      <c r="D19">
        <v>6.7</v>
      </c>
      <c r="E19">
        <v>19978134</v>
      </c>
      <c r="F19">
        <v>1001236</v>
      </c>
      <c r="G19">
        <v>4.5999999999999996</v>
      </c>
      <c r="H19">
        <v>661219</v>
      </c>
      <c r="I19">
        <v>3.3</v>
      </c>
    </row>
    <row r="20" spans="1:9" x14ac:dyDescent="0.45">
      <c r="A20" s="4" t="s">
        <v>198</v>
      </c>
      <c r="B20">
        <v>220555006</v>
      </c>
      <c r="C20">
        <v>211316428</v>
      </c>
      <c r="D20">
        <v>68.900000000000006</v>
      </c>
      <c r="E20">
        <v>209325393</v>
      </c>
      <c r="F20">
        <v>9238578</v>
      </c>
      <c r="G20">
        <v>4.2</v>
      </c>
      <c r="H20">
        <v>1991035</v>
      </c>
      <c r="I20">
        <v>1</v>
      </c>
    </row>
    <row r="21" spans="1:9" x14ac:dyDescent="0.45">
      <c r="A21" s="4" t="s">
        <v>199</v>
      </c>
      <c r="B21">
        <v>2484601</v>
      </c>
      <c r="C21">
        <v>2452546</v>
      </c>
      <c r="D21">
        <v>0.8</v>
      </c>
      <c r="E21">
        <v>1938064</v>
      </c>
      <c r="F21">
        <v>32056</v>
      </c>
      <c r="G21">
        <v>1.3</v>
      </c>
      <c r="H21">
        <v>514482</v>
      </c>
      <c r="I21">
        <v>26.5</v>
      </c>
    </row>
    <row r="22" spans="1:9" x14ac:dyDescent="0.45">
      <c r="A22" s="4" t="s">
        <v>200</v>
      </c>
      <c r="B22">
        <v>24560354</v>
      </c>
      <c r="C22">
        <v>23839682</v>
      </c>
      <c r="D22">
        <v>7.8</v>
      </c>
      <c r="E22">
        <v>19026429</v>
      </c>
      <c r="F22">
        <v>720671</v>
      </c>
      <c r="G22">
        <v>2.9</v>
      </c>
      <c r="H22">
        <v>4813254</v>
      </c>
      <c r="I22">
        <v>25.3</v>
      </c>
    </row>
    <row r="23" spans="1:9" x14ac:dyDescent="0.45">
      <c r="A23" s="4" t="s">
        <v>201</v>
      </c>
      <c r="B23">
        <v>22409107</v>
      </c>
      <c r="C23">
        <v>22274949</v>
      </c>
      <c r="D23">
        <v>7.3</v>
      </c>
      <c r="E23">
        <v>27412585</v>
      </c>
      <c r="F23">
        <v>134158</v>
      </c>
      <c r="G23">
        <v>0.6</v>
      </c>
      <c r="H23">
        <v>-5137636</v>
      </c>
      <c r="I23">
        <v>-18.7</v>
      </c>
    </row>
    <row r="24" spans="1:9" x14ac:dyDescent="0.45">
      <c r="A24" t="s">
        <v>202</v>
      </c>
      <c r="B24">
        <v>43796475</v>
      </c>
      <c r="C24">
        <v>39706277</v>
      </c>
      <c r="D24" s="2">
        <v>7.5</v>
      </c>
      <c r="E24">
        <v>36890836</v>
      </c>
      <c r="F24">
        <v>4090198</v>
      </c>
      <c r="G24">
        <v>9.3000000000000007</v>
      </c>
      <c r="H24">
        <v>2815441</v>
      </c>
      <c r="I24">
        <v>7.6</v>
      </c>
    </row>
    <row r="25" spans="1:9" x14ac:dyDescent="0.45">
      <c r="A25" s="4" t="s">
        <v>203</v>
      </c>
      <c r="B25">
        <v>2489373</v>
      </c>
      <c r="C25">
        <v>2347421</v>
      </c>
      <c r="D25">
        <v>5.9</v>
      </c>
      <c r="E25">
        <v>2079879</v>
      </c>
      <c r="F25">
        <v>141952</v>
      </c>
      <c r="G25">
        <v>5.7</v>
      </c>
      <c r="H25">
        <v>267541</v>
      </c>
      <c r="I25">
        <v>12.9</v>
      </c>
    </row>
    <row r="26" spans="1:9" x14ac:dyDescent="0.45">
      <c r="A26" s="4" t="s">
        <v>204</v>
      </c>
      <c r="B26">
        <v>16947235</v>
      </c>
      <c r="C26">
        <v>14396006</v>
      </c>
      <c r="D26">
        <v>36.299999999999997</v>
      </c>
      <c r="E26">
        <v>13679163</v>
      </c>
      <c r="F26">
        <v>2551229</v>
      </c>
      <c r="G26">
        <v>15.1</v>
      </c>
      <c r="H26">
        <v>716843</v>
      </c>
      <c r="I26">
        <v>5.2</v>
      </c>
    </row>
    <row r="27" spans="1:9" x14ac:dyDescent="0.45">
      <c r="A27" s="4" t="s">
        <v>205</v>
      </c>
      <c r="B27">
        <v>16333238</v>
      </c>
      <c r="C27">
        <v>15608052</v>
      </c>
      <c r="D27">
        <v>39.299999999999997</v>
      </c>
      <c r="E27">
        <v>14844128</v>
      </c>
      <c r="F27">
        <v>725185</v>
      </c>
      <c r="G27">
        <v>4.4000000000000004</v>
      </c>
      <c r="H27">
        <v>763924</v>
      </c>
      <c r="I27">
        <v>5.0999999999999996</v>
      </c>
    </row>
    <row r="28" spans="1:9" x14ac:dyDescent="0.45">
      <c r="A28" s="4" t="s">
        <v>206</v>
      </c>
      <c r="B28">
        <v>46636</v>
      </c>
      <c r="C28">
        <v>41934</v>
      </c>
      <c r="D28">
        <v>0.1</v>
      </c>
      <c r="E28">
        <v>34853</v>
      </c>
      <c r="F28">
        <v>4702</v>
      </c>
      <c r="G28">
        <v>10.1</v>
      </c>
      <c r="H28">
        <v>7081</v>
      </c>
      <c r="I28">
        <v>20.3</v>
      </c>
    </row>
    <row r="29" spans="1:9" x14ac:dyDescent="0.45">
      <c r="A29" s="4" t="s">
        <v>207</v>
      </c>
      <c r="B29">
        <v>686893</v>
      </c>
      <c r="C29">
        <v>685287</v>
      </c>
      <c r="D29">
        <v>1.7</v>
      </c>
      <c r="E29">
        <v>737859</v>
      </c>
      <c r="F29">
        <v>1606</v>
      </c>
      <c r="G29">
        <v>0.2</v>
      </c>
      <c r="H29">
        <v>-52572</v>
      </c>
      <c r="I29">
        <v>-7.1</v>
      </c>
    </row>
    <row r="30" spans="1:9" x14ac:dyDescent="0.45">
      <c r="A30" s="4" t="s">
        <v>208</v>
      </c>
      <c r="B30">
        <v>4010704</v>
      </c>
      <c r="C30">
        <v>3938204</v>
      </c>
      <c r="D30">
        <v>9.9</v>
      </c>
      <c r="E30">
        <v>3086393</v>
      </c>
      <c r="F30">
        <v>72500</v>
      </c>
      <c r="G30">
        <v>1.8</v>
      </c>
      <c r="H30">
        <v>851811</v>
      </c>
      <c r="I30">
        <v>27.6</v>
      </c>
    </row>
    <row r="31" spans="1:9" x14ac:dyDescent="0.45">
      <c r="A31" s="4" t="s">
        <v>209</v>
      </c>
      <c r="B31">
        <v>3255055</v>
      </c>
      <c r="C31">
        <v>2662031</v>
      </c>
      <c r="D31">
        <v>6.7</v>
      </c>
      <c r="E31">
        <v>2407275</v>
      </c>
      <c r="F31">
        <v>593024</v>
      </c>
      <c r="G31">
        <v>18.2</v>
      </c>
      <c r="H31">
        <v>254756</v>
      </c>
      <c r="I31">
        <v>10.6</v>
      </c>
    </row>
    <row r="32" spans="1:9" x14ac:dyDescent="0.45">
      <c r="A32" s="4" t="s">
        <v>210</v>
      </c>
      <c r="B32">
        <v>27341</v>
      </c>
      <c r="C32">
        <v>27341</v>
      </c>
      <c r="D32">
        <v>0.1</v>
      </c>
      <c r="E32">
        <v>21285</v>
      </c>
      <c r="F32">
        <v>0</v>
      </c>
      <c r="G32">
        <v>0</v>
      </c>
      <c r="H32">
        <v>6056</v>
      </c>
      <c r="I32">
        <v>28.5</v>
      </c>
    </row>
    <row r="33" spans="1:9" x14ac:dyDescent="0.45">
      <c r="A33" t="s">
        <v>211</v>
      </c>
      <c r="B33">
        <v>21929819</v>
      </c>
      <c r="C33">
        <v>21573629</v>
      </c>
      <c r="D33" s="2">
        <v>4.0999999999999996</v>
      </c>
      <c r="E33">
        <v>8363387</v>
      </c>
      <c r="F33">
        <v>356190</v>
      </c>
      <c r="G33">
        <v>1.6</v>
      </c>
      <c r="H33">
        <v>13210242</v>
      </c>
      <c r="I33">
        <v>158</v>
      </c>
    </row>
    <row r="34" spans="1:9" x14ac:dyDescent="0.45">
      <c r="A34" t="s">
        <v>212</v>
      </c>
      <c r="B34">
        <v>88930779</v>
      </c>
      <c r="C34">
        <v>84635446</v>
      </c>
      <c r="D34" s="2">
        <v>16</v>
      </c>
      <c r="E34">
        <v>68161058</v>
      </c>
      <c r="F34">
        <v>4295334</v>
      </c>
      <c r="G34">
        <v>4.8</v>
      </c>
      <c r="H34">
        <v>16474387</v>
      </c>
      <c r="I34">
        <v>24.2</v>
      </c>
    </row>
    <row r="35" spans="1:9" x14ac:dyDescent="0.45">
      <c r="A35" t="s">
        <v>213</v>
      </c>
      <c r="B35">
        <v>3214230</v>
      </c>
      <c r="C35">
        <v>664671</v>
      </c>
      <c r="D35" s="2">
        <v>0.1</v>
      </c>
      <c r="E35">
        <v>633133</v>
      </c>
      <c r="F35">
        <v>2549559</v>
      </c>
      <c r="G35">
        <v>79.3</v>
      </c>
      <c r="H35">
        <v>31538</v>
      </c>
      <c r="I35">
        <v>5</v>
      </c>
    </row>
    <row r="38" spans="1:9" x14ac:dyDescent="0.45">
      <c r="A38" t="s">
        <v>182</v>
      </c>
      <c r="B38" t="s">
        <v>181</v>
      </c>
    </row>
    <row r="39" spans="1:9" x14ac:dyDescent="0.45">
      <c r="A39" t="str">
        <f>A17</f>
        <v>이전지출</v>
      </c>
      <c r="B39">
        <f>D17</f>
        <v>57.9</v>
      </c>
    </row>
    <row r="40" spans="1:9" x14ac:dyDescent="0.45">
      <c r="A40" t="str">
        <f>A34</f>
        <v>전출금</v>
      </c>
      <c r="B40">
        <f>D34</f>
        <v>16</v>
      </c>
    </row>
    <row r="41" spans="1:9" x14ac:dyDescent="0.45">
      <c r="A41" t="str">
        <f>A7</f>
        <v>인건비</v>
      </c>
      <c r="B41">
        <f>D7</f>
        <v>8.9</v>
      </c>
    </row>
    <row r="42" spans="1:9" x14ac:dyDescent="0.45">
      <c r="A42" t="str">
        <f>A24</f>
        <v>자산취득</v>
      </c>
      <c r="B42">
        <f>D24</f>
        <v>7.5</v>
      </c>
    </row>
    <row r="43" spans="1:9" x14ac:dyDescent="0.45">
      <c r="A43" t="str">
        <f>A8</f>
        <v>물건비</v>
      </c>
      <c r="B43">
        <f>D8</f>
        <v>5.6</v>
      </c>
    </row>
    <row r="44" spans="1:9" x14ac:dyDescent="0.45">
      <c r="A44" t="s">
        <v>183</v>
      </c>
      <c r="B44">
        <f>100-SUM(B39:B43)</f>
        <v>4.0999999999999943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110D-8FF3-4B66-BBA3-D07A1ABC65F4}">
  <dimension ref="A14:E24"/>
  <sheetViews>
    <sheetView workbookViewId="0">
      <selection activeCell="L40" sqref="L40"/>
    </sheetView>
  </sheetViews>
  <sheetFormatPr defaultRowHeight="17" x14ac:dyDescent="0.45"/>
  <sheetData>
    <row r="14" spans="1:5" x14ac:dyDescent="0.45">
      <c r="A14" t="s">
        <v>219</v>
      </c>
    </row>
    <row r="16" spans="1:5" x14ac:dyDescent="0.45">
      <c r="A16" t="s">
        <v>220</v>
      </c>
      <c r="B16">
        <v>56.95</v>
      </c>
      <c r="D16" t="s">
        <v>221</v>
      </c>
      <c r="E16" s="1">
        <f>B22</f>
        <v>35.159999999999997</v>
      </c>
    </row>
    <row r="17" spans="1:5" x14ac:dyDescent="0.45">
      <c r="A17" t="s">
        <v>222</v>
      </c>
      <c r="B17">
        <v>53.95</v>
      </c>
      <c r="D17" t="s">
        <v>223</v>
      </c>
      <c r="E17" s="1">
        <f>B23</f>
        <v>39.130000000000003</v>
      </c>
    </row>
    <row r="18" spans="1:5" x14ac:dyDescent="0.45">
      <c r="A18" t="s">
        <v>224</v>
      </c>
      <c r="B18">
        <v>42.31</v>
      </c>
      <c r="D18" t="s">
        <v>225</v>
      </c>
      <c r="E18" s="1">
        <f>B24</f>
        <v>40.6</v>
      </c>
    </row>
    <row r="19" spans="1:5" x14ac:dyDescent="0.45">
      <c r="A19" t="s">
        <v>226</v>
      </c>
      <c r="B19">
        <v>47.13</v>
      </c>
      <c r="D19" t="s">
        <v>224</v>
      </c>
      <c r="E19" s="1">
        <f>B18</f>
        <v>42.31</v>
      </c>
    </row>
    <row r="20" spans="1:5" x14ac:dyDescent="0.45">
      <c r="A20" t="s">
        <v>227</v>
      </c>
      <c r="B20">
        <v>49.36</v>
      </c>
      <c r="D20" t="s">
        <v>226</v>
      </c>
      <c r="E20" s="1">
        <f>B19</f>
        <v>47.13</v>
      </c>
    </row>
    <row r="21" spans="1:5" x14ac:dyDescent="0.45">
      <c r="A21" t="s">
        <v>228</v>
      </c>
      <c r="B21">
        <v>48.38</v>
      </c>
      <c r="D21" t="s">
        <v>228</v>
      </c>
      <c r="E21" s="1">
        <f>B21</f>
        <v>48.38</v>
      </c>
    </row>
    <row r="22" spans="1:5" x14ac:dyDescent="0.45">
      <c r="A22" t="s">
        <v>221</v>
      </c>
      <c r="B22">
        <v>35.159999999999997</v>
      </c>
      <c r="D22" t="s">
        <v>227</v>
      </c>
      <c r="E22" s="1">
        <f>B20</f>
        <v>49.36</v>
      </c>
    </row>
    <row r="23" spans="1:5" x14ac:dyDescent="0.45">
      <c r="A23" t="s">
        <v>223</v>
      </c>
      <c r="B23">
        <v>39.130000000000003</v>
      </c>
      <c r="D23" t="s">
        <v>222</v>
      </c>
      <c r="E23" s="1">
        <f>B17</f>
        <v>53.95</v>
      </c>
    </row>
    <row r="24" spans="1:5" x14ac:dyDescent="0.45">
      <c r="A24" t="s">
        <v>225</v>
      </c>
      <c r="B24">
        <v>40.6</v>
      </c>
      <c r="D24" t="s">
        <v>220</v>
      </c>
      <c r="E24" s="1">
        <f>B16</f>
        <v>56.95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6841-B742-47C2-8779-C1219F9E2C3E}">
  <dimension ref="A5:A6"/>
  <sheetViews>
    <sheetView workbookViewId="0">
      <selection activeCell="O47" sqref="O47"/>
    </sheetView>
  </sheetViews>
  <sheetFormatPr defaultRowHeight="17" x14ac:dyDescent="0.45"/>
  <sheetData>
    <row r="5" spans="1:1" x14ac:dyDescent="0.45">
      <c r="A5" t="s">
        <v>230</v>
      </c>
    </row>
    <row r="6" spans="1:1" x14ac:dyDescent="0.45">
      <c r="A6" s="7" t="s">
        <v>229</v>
      </c>
    </row>
  </sheetData>
  <phoneticPr fontId="2" type="noConversion"/>
  <hyperlinks>
    <hyperlink ref="A6" r:id="rId1" xr:uid="{06B84879-0F06-4BD9-B977-B1EA3F00CFA7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6090-CD41-4F5B-B196-7D339DA5988C}">
  <dimension ref="A2:AA30"/>
  <sheetViews>
    <sheetView workbookViewId="0">
      <selection activeCell="V15" sqref="V15:Z19"/>
    </sheetView>
  </sheetViews>
  <sheetFormatPr defaultRowHeight="17" x14ac:dyDescent="0.45"/>
  <cols>
    <col min="1" max="1" width="20.25" bestFit="1" customWidth="1"/>
    <col min="2" max="8" width="10.1640625" bestFit="1" customWidth="1"/>
  </cols>
  <sheetData>
    <row r="2" spans="1:27" x14ac:dyDescent="0.45">
      <c r="A2" t="s">
        <v>2</v>
      </c>
      <c r="B2">
        <v>2018</v>
      </c>
      <c r="C2">
        <v>2019</v>
      </c>
      <c r="D2">
        <v>2020</v>
      </c>
      <c r="E2">
        <v>2021</v>
      </c>
      <c r="F2">
        <v>2022</v>
      </c>
      <c r="G2">
        <v>2023</v>
      </c>
      <c r="H2">
        <v>2024</v>
      </c>
    </row>
    <row r="3" spans="1:27" x14ac:dyDescent="0.45">
      <c r="A3" t="s">
        <v>231</v>
      </c>
      <c r="B3">
        <v>316218484</v>
      </c>
      <c r="C3">
        <v>332239672</v>
      </c>
      <c r="D3">
        <v>392367040</v>
      </c>
      <c r="E3">
        <v>438363287</v>
      </c>
      <c r="F3">
        <v>493867232</v>
      </c>
      <c r="G3">
        <v>407928318</v>
      </c>
      <c r="H3">
        <v>437317819</v>
      </c>
    </row>
    <row r="4" spans="1:27" x14ac:dyDescent="0.45">
      <c r="A4" s="4" t="s">
        <v>232</v>
      </c>
      <c r="B4">
        <v>285891988</v>
      </c>
      <c r="C4">
        <v>286031996</v>
      </c>
      <c r="D4">
        <v>276278187</v>
      </c>
      <c r="E4">
        <v>332504797</v>
      </c>
      <c r="F4">
        <v>385159576</v>
      </c>
      <c r="G4">
        <v>333939610</v>
      </c>
      <c r="H4">
        <v>326179303</v>
      </c>
    </row>
    <row r="5" spans="1:27" x14ac:dyDescent="0.45">
      <c r="A5" s="5" t="s">
        <v>233</v>
      </c>
      <c r="B5">
        <v>254770202</v>
      </c>
      <c r="C5">
        <v>255804538</v>
      </c>
      <c r="D5">
        <v>246987193</v>
      </c>
      <c r="E5">
        <v>296445033</v>
      </c>
      <c r="F5">
        <v>352274995</v>
      </c>
      <c r="G5">
        <v>306059472</v>
      </c>
      <c r="H5">
        <v>298259369</v>
      </c>
    </row>
    <row r="6" spans="1:27" x14ac:dyDescent="0.45">
      <c r="A6" s="5" t="s">
        <v>234</v>
      </c>
      <c r="B6">
        <v>8815210</v>
      </c>
      <c r="C6">
        <v>7882126</v>
      </c>
      <c r="D6">
        <v>7058540</v>
      </c>
      <c r="E6">
        <v>8227000</v>
      </c>
      <c r="F6">
        <v>10324118</v>
      </c>
      <c r="G6">
        <v>7288282</v>
      </c>
      <c r="H6">
        <v>6972267</v>
      </c>
    </row>
    <row r="7" spans="1:27" x14ac:dyDescent="0.45">
      <c r="A7" s="5" t="s">
        <v>235</v>
      </c>
      <c r="B7">
        <v>269</v>
      </c>
      <c r="C7">
        <v>271</v>
      </c>
      <c r="D7">
        <v>178</v>
      </c>
      <c r="E7">
        <v>287</v>
      </c>
      <c r="F7">
        <v>898</v>
      </c>
      <c r="G7">
        <v>137</v>
      </c>
      <c r="H7">
        <v>80</v>
      </c>
    </row>
    <row r="8" spans="1:27" x14ac:dyDescent="0.45">
      <c r="A8" s="5" t="s">
        <v>236</v>
      </c>
      <c r="B8">
        <v>15334854</v>
      </c>
      <c r="C8">
        <v>14562707</v>
      </c>
      <c r="D8">
        <v>13937883</v>
      </c>
      <c r="E8">
        <v>16598390</v>
      </c>
      <c r="F8">
        <v>11116375</v>
      </c>
      <c r="G8">
        <v>10843590</v>
      </c>
      <c r="H8">
        <v>11389082</v>
      </c>
    </row>
    <row r="9" spans="1:27" x14ac:dyDescent="0.45">
      <c r="A9" s="5" t="s">
        <v>237</v>
      </c>
      <c r="B9">
        <v>5098691</v>
      </c>
      <c r="C9">
        <v>5111088</v>
      </c>
      <c r="D9">
        <v>4693743</v>
      </c>
      <c r="E9">
        <v>5103866</v>
      </c>
      <c r="F9">
        <v>4644380</v>
      </c>
      <c r="G9">
        <v>5151619</v>
      </c>
      <c r="H9">
        <v>5373797</v>
      </c>
    </row>
    <row r="10" spans="1:27" x14ac:dyDescent="0.45">
      <c r="A10" s="5" t="s">
        <v>238</v>
      </c>
      <c r="B10">
        <v>1872762</v>
      </c>
      <c r="C10">
        <v>2671265</v>
      </c>
      <c r="D10">
        <v>3600650</v>
      </c>
      <c r="E10">
        <v>6130222</v>
      </c>
      <c r="F10">
        <v>6798810</v>
      </c>
      <c r="G10">
        <v>4596509</v>
      </c>
      <c r="H10">
        <v>4184709</v>
      </c>
    </row>
    <row r="11" spans="1:27" x14ac:dyDescent="0.45">
      <c r="A11" s="4" t="s">
        <v>239</v>
      </c>
      <c r="B11">
        <v>30268931</v>
      </c>
      <c r="C11">
        <v>46153681</v>
      </c>
      <c r="D11">
        <v>116088853</v>
      </c>
      <c r="E11">
        <v>105858490</v>
      </c>
      <c r="F11">
        <v>108681334</v>
      </c>
      <c r="G11">
        <v>73988708</v>
      </c>
      <c r="H11">
        <v>111138516</v>
      </c>
    </row>
    <row r="12" spans="1:27" x14ac:dyDescent="0.45">
      <c r="A12" s="4" t="s">
        <v>240</v>
      </c>
    </row>
    <row r="13" spans="1:27" x14ac:dyDescent="0.45">
      <c r="A13" s="4" t="s">
        <v>241</v>
      </c>
      <c r="B13">
        <v>57565</v>
      </c>
      <c r="C13">
        <v>53995</v>
      </c>
      <c r="F13">
        <v>26322</v>
      </c>
      <c r="J13">
        <v>2018</v>
      </c>
      <c r="K13">
        <v>2019</v>
      </c>
      <c r="L13">
        <v>2020</v>
      </c>
      <c r="M13">
        <v>2021</v>
      </c>
      <c r="N13">
        <v>2022</v>
      </c>
      <c r="O13">
        <v>2023</v>
      </c>
      <c r="P13">
        <v>2024</v>
      </c>
      <c r="T13">
        <v>2018</v>
      </c>
      <c r="U13">
        <v>2019</v>
      </c>
      <c r="V13">
        <v>2020</v>
      </c>
      <c r="W13">
        <v>2021</v>
      </c>
      <c r="X13">
        <v>2022</v>
      </c>
      <c r="Y13">
        <v>2023</v>
      </c>
      <c r="Z13">
        <v>2024</v>
      </c>
    </row>
    <row r="14" spans="1:27" x14ac:dyDescent="0.45">
      <c r="A14" t="s">
        <v>242</v>
      </c>
      <c r="B14">
        <v>299945984</v>
      </c>
      <c r="C14">
        <v>330884136</v>
      </c>
      <c r="D14">
        <v>385222988</v>
      </c>
      <c r="E14">
        <v>417720678</v>
      </c>
      <c r="F14">
        <v>485049157</v>
      </c>
      <c r="G14">
        <v>405886290</v>
      </c>
      <c r="H14">
        <v>435430470</v>
      </c>
    </row>
    <row r="15" spans="1:27" x14ac:dyDescent="0.45">
      <c r="A15" s="4" t="s">
        <v>243</v>
      </c>
      <c r="B15">
        <v>64132405</v>
      </c>
      <c r="C15">
        <v>70882746</v>
      </c>
      <c r="D15">
        <v>86170021</v>
      </c>
      <c r="E15">
        <v>92407937</v>
      </c>
      <c r="F15">
        <v>103500736</v>
      </c>
      <c r="G15">
        <v>87029976</v>
      </c>
      <c r="H15">
        <v>99140080</v>
      </c>
      <c r="J15" s="8">
        <f>B15/B$14</f>
        <v>0.21381318110930267</v>
      </c>
      <c r="K15" s="8">
        <f t="shared" ref="K15:P30" si="0">C15/C$14</f>
        <v>0.21422225573244164</v>
      </c>
      <c r="L15" s="8">
        <f t="shared" si="0"/>
        <v>0.22368867820525809</v>
      </c>
      <c r="M15" s="8">
        <f t="shared" si="0"/>
        <v>0.22121944607204722</v>
      </c>
      <c r="N15" s="8">
        <f t="shared" si="0"/>
        <v>0.21338195213067859</v>
      </c>
      <c r="O15" s="8">
        <f t="shared" si="0"/>
        <v>0.21441960012987873</v>
      </c>
      <c r="P15" s="8">
        <f t="shared" si="0"/>
        <v>0.22768291800984897</v>
      </c>
      <c r="S15" t="s">
        <v>247</v>
      </c>
      <c r="T15" s="11">
        <f>SUM(J22)</f>
        <v>0.16015034226962679</v>
      </c>
      <c r="U15" s="11">
        <f t="shared" ref="U15:AA15" si="1">SUM(K22)</f>
        <v>0.17125227484463021</v>
      </c>
      <c r="V15" s="12">
        <f t="shared" si="1"/>
        <v>0.18758528242348818</v>
      </c>
      <c r="W15" s="12">
        <f t="shared" si="1"/>
        <v>0.17074821467181475</v>
      </c>
      <c r="X15" s="12">
        <f t="shared" si="1"/>
        <v>0.15606601703670211</v>
      </c>
      <c r="Y15" s="12">
        <f t="shared" si="1"/>
        <v>0.18580313712985969</v>
      </c>
      <c r="Z15" s="12">
        <f t="shared" si="1"/>
        <v>0.18883547814189486</v>
      </c>
      <c r="AA15" s="11"/>
    </row>
    <row r="16" spans="1:27" x14ac:dyDescent="0.45">
      <c r="A16" s="4" t="s">
        <v>157</v>
      </c>
      <c r="B16">
        <v>17685681</v>
      </c>
      <c r="C16">
        <v>18887154</v>
      </c>
      <c r="D16">
        <v>20081143</v>
      </c>
      <c r="E16">
        <v>20702631</v>
      </c>
      <c r="F16">
        <v>21476477</v>
      </c>
      <c r="G16">
        <v>20989733</v>
      </c>
      <c r="H16">
        <v>22355569</v>
      </c>
      <c r="J16" s="8">
        <f t="shared" ref="J16:J29" si="2">B16/B$14</f>
        <v>5.8962886464250845E-2</v>
      </c>
      <c r="K16" s="8">
        <f t="shared" si="0"/>
        <v>5.7080868935946813E-2</v>
      </c>
      <c r="L16" s="8">
        <f t="shared" si="0"/>
        <v>5.2128620631539259E-2</v>
      </c>
      <c r="M16" s="8">
        <f t="shared" si="0"/>
        <v>4.9560943688787176E-2</v>
      </c>
      <c r="N16" s="8">
        <f t="shared" si="0"/>
        <v>4.4276908206233624E-2</v>
      </c>
      <c r="O16" s="8">
        <f t="shared" si="0"/>
        <v>5.1713333308203144E-2</v>
      </c>
      <c r="P16" s="8">
        <f t="shared" si="0"/>
        <v>5.1341305995421034E-2</v>
      </c>
      <c r="S16" t="s">
        <v>246</v>
      </c>
      <c r="T16" s="11">
        <f>SUM(J18)</f>
        <v>0.14314324341812157</v>
      </c>
      <c r="U16" s="11">
        <f t="shared" ref="U16:AA16" si="3">SUM(K18)</f>
        <v>0.14055392187191471</v>
      </c>
      <c r="V16" s="12">
        <f t="shared" si="3"/>
        <v>0.12488757810060909</v>
      </c>
      <c r="W16" s="12">
        <f t="shared" si="3"/>
        <v>0.1225281287128429</v>
      </c>
      <c r="X16" s="12">
        <f t="shared" si="3"/>
        <v>0.10816802017449956</v>
      </c>
      <c r="Y16" s="12">
        <f t="shared" si="3"/>
        <v>0.13833339381825388</v>
      </c>
      <c r="Z16" s="12">
        <f t="shared" si="3"/>
        <v>0.13547158975806173</v>
      </c>
      <c r="AA16" s="11"/>
    </row>
    <row r="17" spans="1:27" x14ac:dyDescent="0.45">
      <c r="A17" s="4" t="s">
        <v>244</v>
      </c>
      <c r="B17">
        <v>2487681</v>
      </c>
      <c r="C17">
        <v>2688181</v>
      </c>
      <c r="D17">
        <v>2711778</v>
      </c>
      <c r="E17">
        <v>2935460</v>
      </c>
      <c r="F17">
        <v>3140990</v>
      </c>
      <c r="G17">
        <v>3494193</v>
      </c>
      <c r="H17">
        <v>4344570</v>
      </c>
      <c r="J17" s="8">
        <f t="shared" si="2"/>
        <v>8.2937633197315962E-3</v>
      </c>
      <c r="K17" s="8">
        <f t="shared" si="0"/>
        <v>8.1242365756694964E-3</v>
      </c>
      <c r="L17" s="8">
        <f t="shared" si="0"/>
        <v>7.0395020143501925E-3</v>
      </c>
      <c r="M17" s="8">
        <f t="shared" si="0"/>
        <v>7.0273274812600968E-3</v>
      </c>
      <c r="N17" s="8">
        <f t="shared" si="0"/>
        <v>6.4756117079490154E-3</v>
      </c>
      <c r="O17" s="8">
        <f t="shared" si="0"/>
        <v>8.6087977990091762E-3</v>
      </c>
      <c r="P17" s="8">
        <f t="shared" si="0"/>
        <v>9.9776435029914189E-3</v>
      </c>
      <c r="S17" t="s">
        <v>248</v>
      </c>
      <c r="T17" s="11">
        <f>SUM(J19)</f>
        <v>0.21385015109920591</v>
      </c>
      <c r="U17" s="11">
        <f t="shared" ref="U17:AA17" si="4">SUM(K19)</f>
        <v>0.21309843032184536</v>
      </c>
      <c r="V17" s="12">
        <f t="shared" si="4"/>
        <v>0.18317466557836887</v>
      </c>
      <c r="W17" s="12">
        <f t="shared" si="4"/>
        <v>0.18414317521528106</v>
      </c>
      <c r="X17" s="12">
        <f t="shared" si="4"/>
        <v>0.19419561840409508</v>
      </c>
      <c r="Y17" s="12">
        <f t="shared" si="4"/>
        <v>0.2125915585865194</v>
      </c>
      <c r="Z17" s="12">
        <f t="shared" si="4"/>
        <v>0.19889235587945878</v>
      </c>
      <c r="AA17" s="11"/>
    </row>
    <row r="18" spans="1:27" x14ac:dyDescent="0.45">
      <c r="A18" s="9" t="s">
        <v>159</v>
      </c>
      <c r="B18">
        <v>42935241</v>
      </c>
      <c r="C18">
        <v>46507063</v>
      </c>
      <c r="D18">
        <v>48109566</v>
      </c>
      <c r="E18">
        <v>51182533</v>
      </c>
      <c r="F18">
        <v>52466807</v>
      </c>
      <c r="G18">
        <v>56147628</v>
      </c>
      <c r="H18">
        <v>58988458</v>
      </c>
      <c r="J18" s="8">
        <f t="shared" si="2"/>
        <v>0.14314324341812157</v>
      </c>
      <c r="K18" s="8">
        <f t="shared" si="0"/>
        <v>0.14055392187191471</v>
      </c>
      <c r="L18" s="8">
        <f t="shared" si="0"/>
        <v>0.12488757810060909</v>
      </c>
      <c r="M18" s="8">
        <f t="shared" si="0"/>
        <v>0.1225281287128429</v>
      </c>
      <c r="N18" s="8">
        <f t="shared" si="0"/>
        <v>0.10816802017449956</v>
      </c>
      <c r="O18" s="8">
        <f t="shared" si="0"/>
        <v>0.13833339381825388</v>
      </c>
      <c r="P18" s="8">
        <f t="shared" si="0"/>
        <v>0.13547158975806173</v>
      </c>
      <c r="S18" t="s">
        <v>249</v>
      </c>
      <c r="T18" s="11">
        <f>SUM(J24:J29)</f>
        <v>0.15380335947421789</v>
      </c>
      <c r="U18" s="11">
        <f t="shared" ref="U18:AA18" si="5">SUM(K24:K29)</f>
        <v>0.14498985832309591</v>
      </c>
      <c r="V18" s="12">
        <f t="shared" si="5"/>
        <v>0.16258089976707205</v>
      </c>
      <c r="W18" s="12">
        <f t="shared" si="5"/>
        <v>0.16532131789750665</v>
      </c>
      <c r="X18" s="12">
        <f t="shared" si="5"/>
        <v>0.19494999555271877</v>
      </c>
      <c r="Y18" s="12">
        <f t="shared" si="5"/>
        <v>0.1217192085990389</v>
      </c>
      <c r="Z18" s="12">
        <f t="shared" si="5"/>
        <v>0.12722757321048295</v>
      </c>
      <c r="AA18" s="11"/>
    </row>
    <row r="19" spans="1:27" x14ac:dyDescent="0.45">
      <c r="A19" s="9" t="s">
        <v>160</v>
      </c>
      <c r="B19">
        <v>64143494</v>
      </c>
      <c r="C19">
        <v>70510890</v>
      </c>
      <c r="D19">
        <v>70563092</v>
      </c>
      <c r="E19">
        <v>76920412</v>
      </c>
      <c r="F19">
        <v>94194421</v>
      </c>
      <c r="G19">
        <v>86287999</v>
      </c>
      <c r="H19">
        <v>86603792</v>
      </c>
      <c r="J19" s="8">
        <f t="shared" si="2"/>
        <v>0.21385015109920591</v>
      </c>
      <c r="K19" s="8">
        <f t="shared" si="0"/>
        <v>0.21309843032184536</v>
      </c>
      <c r="L19" s="8">
        <f t="shared" si="0"/>
        <v>0.18317466557836887</v>
      </c>
      <c r="M19" s="8">
        <f t="shared" si="0"/>
        <v>0.18414317521528106</v>
      </c>
      <c r="N19" s="8">
        <f t="shared" si="0"/>
        <v>0.19419561840409508</v>
      </c>
      <c r="O19" s="8">
        <f t="shared" si="0"/>
        <v>0.2125915585865194</v>
      </c>
      <c r="P19" s="8">
        <f t="shared" si="0"/>
        <v>0.19889235587945878</v>
      </c>
      <c r="S19" t="s">
        <v>183</v>
      </c>
      <c r="T19" s="11">
        <f>SUM(J15:J17,J20:J21,J23,J30)</f>
        <v>0.32905289707096058</v>
      </c>
      <c r="U19" s="11">
        <f t="shared" ref="U19:AA19" si="6">SUM(K15:K17,K20:K21,K23,K30)</f>
        <v>0.33010551766071977</v>
      </c>
      <c r="V19" s="12">
        <f t="shared" si="6"/>
        <v>0.34177157413046189</v>
      </c>
      <c r="W19" s="12">
        <f t="shared" si="6"/>
        <v>0.35725916350255471</v>
      </c>
      <c r="X19" s="12">
        <f t="shared" si="6"/>
        <v>0.34662034677033776</v>
      </c>
      <c r="Y19" s="12">
        <f t="shared" si="6"/>
        <v>0.34155270186632813</v>
      </c>
      <c r="Z19" s="12">
        <f t="shared" si="6"/>
        <v>0.34957300071352382</v>
      </c>
      <c r="AA19" s="11"/>
    </row>
    <row r="20" spans="1:27" x14ac:dyDescent="0.45">
      <c r="A20" s="4" t="s">
        <v>161</v>
      </c>
      <c r="B20">
        <v>2819017</v>
      </c>
      <c r="C20">
        <v>3237099</v>
      </c>
      <c r="D20">
        <v>3682217</v>
      </c>
      <c r="E20">
        <v>3967285</v>
      </c>
      <c r="F20">
        <v>4278457</v>
      </c>
      <c r="G20">
        <v>4448238</v>
      </c>
      <c r="H20">
        <v>4498254</v>
      </c>
      <c r="J20" s="8">
        <f t="shared" si="2"/>
        <v>9.3984155493810513E-3</v>
      </c>
      <c r="K20" s="8">
        <f t="shared" si="0"/>
        <v>9.783179813733953E-3</v>
      </c>
      <c r="L20" s="8">
        <f t="shared" si="0"/>
        <v>9.5586637212834238E-3</v>
      </c>
      <c r="M20" s="8">
        <f t="shared" si="0"/>
        <v>9.4974589694599709E-3</v>
      </c>
      <c r="N20" s="8">
        <f t="shared" si="0"/>
        <v>8.8206668092405318E-3</v>
      </c>
      <c r="O20" s="8">
        <f t="shared" si="0"/>
        <v>1.0959320651111423E-2</v>
      </c>
      <c r="P20" s="8">
        <f t="shared" si="0"/>
        <v>1.0330590782955543E-2</v>
      </c>
    </row>
    <row r="21" spans="1:27" x14ac:dyDescent="0.45">
      <c r="A21" s="4" t="s">
        <v>162</v>
      </c>
      <c r="B21">
        <v>3588604</v>
      </c>
      <c r="C21">
        <v>4186156</v>
      </c>
      <c r="D21">
        <v>5279449</v>
      </c>
      <c r="E21">
        <v>5517787</v>
      </c>
      <c r="F21">
        <v>5784851</v>
      </c>
      <c r="G21">
        <v>5260757</v>
      </c>
      <c r="H21">
        <v>5475595</v>
      </c>
      <c r="J21" s="8">
        <f t="shared" si="2"/>
        <v>1.1964167521576152E-2</v>
      </c>
      <c r="K21" s="8">
        <f t="shared" si="0"/>
        <v>1.2651425512887084E-2</v>
      </c>
      <c r="L21" s="8">
        <f t="shared" si="0"/>
        <v>1.3704916800032713E-2</v>
      </c>
      <c r="M21" s="8">
        <f t="shared" si="0"/>
        <v>1.3209274260538282E-2</v>
      </c>
      <c r="N21" s="8">
        <f t="shared" si="0"/>
        <v>1.1926319047287819E-2</v>
      </c>
      <c r="O21" s="8">
        <f t="shared" si="0"/>
        <v>1.2961159639070342E-2</v>
      </c>
      <c r="P21" s="8">
        <f t="shared" si="0"/>
        <v>1.2575130536914425E-2</v>
      </c>
    </row>
    <row r="22" spans="1:27" x14ac:dyDescent="0.45">
      <c r="A22" s="9" t="s">
        <v>163</v>
      </c>
      <c r="B22">
        <v>48036452</v>
      </c>
      <c r="C22">
        <v>56664661</v>
      </c>
      <c r="D22">
        <v>72262163</v>
      </c>
      <c r="E22">
        <v>71325060</v>
      </c>
      <c r="F22">
        <v>75699690</v>
      </c>
      <c r="G22">
        <v>75414946</v>
      </c>
      <c r="H22">
        <v>82224721</v>
      </c>
      <c r="J22" s="8">
        <f t="shared" si="2"/>
        <v>0.16015034226962679</v>
      </c>
      <c r="K22" s="8">
        <f t="shared" si="0"/>
        <v>0.17125227484463021</v>
      </c>
      <c r="L22" s="8">
        <f t="shared" si="0"/>
        <v>0.18758528242348818</v>
      </c>
      <c r="M22" s="8">
        <f t="shared" si="0"/>
        <v>0.17074821467181475</v>
      </c>
      <c r="N22" s="8">
        <f t="shared" si="0"/>
        <v>0.15606601703670211</v>
      </c>
      <c r="O22" s="8">
        <f t="shared" si="0"/>
        <v>0.18580313712985969</v>
      </c>
      <c r="P22" s="8">
        <f t="shared" si="0"/>
        <v>0.18883547814189486</v>
      </c>
    </row>
    <row r="23" spans="1:27" x14ac:dyDescent="0.45">
      <c r="A23" s="4" t="s">
        <v>164</v>
      </c>
      <c r="B23">
        <v>7417707</v>
      </c>
      <c r="C23">
        <v>8765343</v>
      </c>
      <c r="D23">
        <v>13183659</v>
      </c>
      <c r="E23">
        <v>23153440</v>
      </c>
      <c r="F23">
        <v>29370396</v>
      </c>
      <c r="G23">
        <v>16801462</v>
      </c>
      <c r="H23">
        <v>15762368</v>
      </c>
      <c r="J23" s="8">
        <f t="shared" si="2"/>
        <v>2.4730142744634982E-2</v>
      </c>
      <c r="K23" s="8">
        <f t="shared" si="0"/>
        <v>2.6490671647068628E-2</v>
      </c>
      <c r="L23" s="8">
        <f t="shared" si="0"/>
        <v>3.4223448264203794E-2</v>
      </c>
      <c r="M23" s="8">
        <f t="shared" si="0"/>
        <v>5.5428043712980851E-2</v>
      </c>
      <c r="N23" s="8">
        <f t="shared" si="0"/>
        <v>6.0551380362464997E-2</v>
      </c>
      <c r="O23" s="8">
        <f t="shared" si="0"/>
        <v>4.1394504850114547E-2</v>
      </c>
      <c r="P23" s="8">
        <f t="shared" si="0"/>
        <v>3.6199506203596639E-2</v>
      </c>
    </row>
    <row r="24" spans="1:27" x14ac:dyDescent="0.45">
      <c r="A24" s="10" t="s">
        <v>165</v>
      </c>
      <c r="B24">
        <v>9102720</v>
      </c>
      <c r="C24">
        <v>9421392</v>
      </c>
      <c r="D24">
        <v>10278984</v>
      </c>
      <c r="E24">
        <v>7206629</v>
      </c>
      <c r="F24">
        <v>6839900</v>
      </c>
      <c r="G24">
        <v>9194983</v>
      </c>
      <c r="H24">
        <v>9251480</v>
      </c>
      <c r="J24" s="8">
        <f t="shared" si="2"/>
        <v>3.03478642341149E-2</v>
      </c>
      <c r="K24" s="8">
        <f t="shared" si="0"/>
        <v>2.8473386829279721E-2</v>
      </c>
      <c r="L24" s="8">
        <f t="shared" si="0"/>
        <v>2.6683205105090976E-2</v>
      </c>
      <c r="M24" s="8">
        <f t="shared" si="0"/>
        <v>1.7252267794126294E-2</v>
      </c>
      <c r="N24" s="8">
        <f t="shared" si="0"/>
        <v>1.4101457349816609E-2</v>
      </c>
      <c r="O24" s="8">
        <f t="shared" si="0"/>
        <v>2.265408619739287E-2</v>
      </c>
      <c r="P24" s="8">
        <f t="shared" si="0"/>
        <v>2.1246744629515705E-2</v>
      </c>
    </row>
    <row r="25" spans="1:27" x14ac:dyDescent="0.45">
      <c r="A25" s="10" t="s">
        <v>245</v>
      </c>
      <c r="B25">
        <v>7212104</v>
      </c>
      <c r="C25">
        <v>8707407</v>
      </c>
      <c r="D25">
        <v>20342104</v>
      </c>
      <c r="E25">
        <v>28300984</v>
      </c>
      <c r="F25">
        <v>54720624</v>
      </c>
      <c r="G25">
        <v>11439996</v>
      </c>
      <c r="H25">
        <v>11666777</v>
      </c>
      <c r="J25" s="8">
        <f t="shared" si="2"/>
        <v>2.4044675990727717E-2</v>
      </c>
      <c r="K25" s="8">
        <f t="shared" si="0"/>
        <v>2.6315577123951328E-2</v>
      </c>
      <c r="L25" s="8">
        <f t="shared" si="0"/>
        <v>5.2806049051257554E-2</v>
      </c>
      <c r="M25" s="8">
        <f t="shared" si="0"/>
        <v>6.7750976886042494E-2</v>
      </c>
      <c r="N25" s="8">
        <f t="shared" si="0"/>
        <v>0.11281459458345167</v>
      </c>
      <c r="O25" s="8">
        <f t="shared" si="0"/>
        <v>2.8185223994631602E-2</v>
      </c>
      <c r="P25" s="8">
        <f t="shared" si="0"/>
        <v>2.6793662372777909E-2</v>
      </c>
    </row>
    <row r="26" spans="1:27" x14ac:dyDescent="0.45">
      <c r="A26" s="10" t="s">
        <v>167</v>
      </c>
      <c r="B26">
        <v>18802026</v>
      </c>
      <c r="C26">
        <v>17501589</v>
      </c>
      <c r="D26">
        <v>18321882</v>
      </c>
      <c r="E26">
        <v>18172496</v>
      </c>
      <c r="F26">
        <v>16663254</v>
      </c>
      <c r="G26">
        <v>12691950</v>
      </c>
      <c r="H26">
        <v>17055764</v>
      </c>
      <c r="J26" s="8">
        <f t="shared" si="2"/>
        <v>6.268470659037062E-2</v>
      </c>
      <c r="K26" s="8">
        <f t="shared" si="0"/>
        <v>5.2893406168012844E-2</v>
      </c>
      <c r="L26" s="8">
        <f t="shared" si="0"/>
        <v>4.7561756620817242E-2</v>
      </c>
      <c r="M26" s="8">
        <f t="shared" si="0"/>
        <v>4.3503941645905306E-2</v>
      </c>
      <c r="N26" s="8">
        <f t="shared" si="0"/>
        <v>3.4353742831059082E-2</v>
      </c>
      <c r="O26" s="8">
        <f t="shared" si="0"/>
        <v>3.1269718422861734E-2</v>
      </c>
      <c r="P26" s="8">
        <f t="shared" si="0"/>
        <v>3.9169890889813014E-2</v>
      </c>
    </row>
    <row r="27" spans="1:27" x14ac:dyDescent="0.45">
      <c r="A27" s="10" t="s">
        <v>168</v>
      </c>
      <c r="B27">
        <v>348072</v>
      </c>
      <c r="C27">
        <v>354568</v>
      </c>
      <c r="D27">
        <v>434555</v>
      </c>
      <c r="E27">
        <v>583767</v>
      </c>
      <c r="F27">
        <v>1025036</v>
      </c>
      <c r="G27">
        <v>963709</v>
      </c>
      <c r="H27">
        <v>899859</v>
      </c>
      <c r="J27" s="8">
        <f t="shared" si="2"/>
        <v>1.1604489427002964E-3</v>
      </c>
      <c r="K27" s="8">
        <f t="shared" si="0"/>
        <v>1.0715775143719795E-3</v>
      </c>
      <c r="L27" s="8">
        <f t="shared" si="0"/>
        <v>1.1280609245469017E-3</v>
      </c>
      <c r="M27" s="8">
        <f t="shared" si="0"/>
        <v>1.3975056317417928E-3</v>
      </c>
      <c r="N27" s="8">
        <f t="shared" si="0"/>
        <v>2.1132620997421918E-3</v>
      </c>
      <c r="O27" s="8">
        <f t="shared" si="0"/>
        <v>2.3743324762213573E-3</v>
      </c>
      <c r="P27" s="8">
        <f t="shared" si="0"/>
        <v>2.0665963041125715E-3</v>
      </c>
    </row>
    <row r="28" spans="1:27" x14ac:dyDescent="0.45">
      <c r="A28" s="10" t="s">
        <v>169</v>
      </c>
      <c r="B28">
        <v>4510928</v>
      </c>
      <c r="C28">
        <v>5549322</v>
      </c>
      <c r="D28">
        <v>6449132</v>
      </c>
      <c r="E28">
        <v>7392871</v>
      </c>
      <c r="F28">
        <v>7534780</v>
      </c>
      <c r="G28">
        <v>7088677</v>
      </c>
      <c r="H28">
        <v>8756881</v>
      </c>
      <c r="J28" s="8">
        <f t="shared" si="2"/>
        <v>1.5039134512966174E-2</v>
      </c>
      <c r="K28" s="8">
        <f t="shared" si="0"/>
        <v>1.6771193890057032E-2</v>
      </c>
      <c r="L28" s="8">
        <f t="shared" si="0"/>
        <v>1.6741295823186959E-2</v>
      </c>
      <c r="M28" s="8">
        <f t="shared" si="0"/>
        <v>1.7698120752355957E-2</v>
      </c>
      <c r="N28" s="8">
        <f t="shared" si="0"/>
        <v>1.5534054417498966E-2</v>
      </c>
      <c r="O28" s="8">
        <f t="shared" si="0"/>
        <v>1.7464686969347991E-2</v>
      </c>
      <c r="P28" s="8">
        <f t="shared" si="0"/>
        <v>2.0110859490379714E-2</v>
      </c>
    </row>
    <row r="29" spans="1:27" x14ac:dyDescent="0.45">
      <c r="A29" s="10" t="s">
        <v>170</v>
      </c>
      <c r="B29">
        <v>6156850</v>
      </c>
      <c r="C29">
        <v>6440566</v>
      </c>
      <c r="D29">
        <v>6803243</v>
      </c>
      <c r="E29">
        <v>7401386</v>
      </c>
      <c r="F29">
        <v>7776737</v>
      </c>
      <c r="G29">
        <v>8024843</v>
      </c>
      <c r="H29">
        <v>7768001</v>
      </c>
      <c r="J29" s="8">
        <f t="shared" si="2"/>
        <v>2.0526529203338157E-2</v>
      </c>
      <c r="K29" s="8">
        <f t="shared" si="0"/>
        <v>1.946471679742301E-2</v>
      </c>
      <c r="L29" s="8">
        <f t="shared" si="0"/>
        <v>1.7660532242172421E-2</v>
      </c>
      <c r="M29" s="8">
        <f t="shared" si="0"/>
        <v>1.7718505187334775E-2</v>
      </c>
      <c r="N29" s="8">
        <f t="shared" si="0"/>
        <v>1.6032884271150273E-2</v>
      </c>
      <c r="O29" s="8">
        <f t="shared" si="0"/>
        <v>1.9771160538583354E-2</v>
      </c>
      <c r="P29" s="8">
        <f t="shared" si="0"/>
        <v>1.783981952388403E-2</v>
      </c>
    </row>
    <row r="30" spans="1:27" x14ac:dyDescent="0.45">
      <c r="A30" s="4" t="s">
        <v>171</v>
      </c>
      <c r="B30">
        <v>567000</v>
      </c>
      <c r="C30">
        <v>580000</v>
      </c>
      <c r="D30">
        <v>550000</v>
      </c>
      <c r="E30">
        <v>550000</v>
      </c>
      <c r="F30">
        <v>576000</v>
      </c>
      <c r="G30">
        <v>607200</v>
      </c>
      <c r="H30">
        <v>638300</v>
      </c>
      <c r="J30" s="8">
        <f>B30/B$14</f>
        <v>1.8903403620833276E-3</v>
      </c>
      <c r="K30" s="8">
        <f t="shared" si="0"/>
        <v>1.7528794429721465E-3</v>
      </c>
      <c r="L30" s="8">
        <f t="shared" si="0"/>
        <v>1.4277444937943319E-3</v>
      </c>
      <c r="M30" s="8">
        <f t="shared" si="0"/>
        <v>1.3166693174810945E-3</v>
      </c>
      <c r="N30" s="8">
        <f t="shared" si="0"/>
        <v>1.1875085064831893E-3</v>
      </c>
      <c r="O30" s="8">
        <f t="shared" si="0"/>
        <v>1.4959854889407573E-3</v>
      </c>
      <c r="P30" s="8">
        <f t="shared" si="0"/>
        <v>1.4659056817957641E-3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B4E9-04FF-49B8-991D-45F22283AB5C}">
  <dimension ref="A1:AK19"/>
  <sheetViews>
    <sheetView workbookViewId="0">
      <selection activeCell="Q44" sqref="Q44"/>
    </sheetView>
  </sheetViews>
  <sheetFormatPr defaultRowHeight="17" x14ac:dyDescent="0.45"/>
  <sheetData>
    <row r="1" spans="1:37" x14ac:dyDescent="0.45">
      <c r="A1" s="7" t="s">
        <v>461</v>
      </c>
    </row>
    <row r="2" spans="1:37" x14ac:dyDescent="0.45">
      <c r="A2" s="13" t="s">
        <v>460</v>
      </c>
      <c r="B2" t="s">
        <v>459</v>
      </c>
    </row>
    <row r="3" spans="1:37" x14ac:dyDescent="0.45">
      <c r="A3" s="13" t="s">
        <v>458</v>
      </c>
      <c r="B3" t="s">
        <v>457</v>
      </c>
    </row>
    <row r="4" spans="1:37" x14ac:dyDescent="0.45">
      <c r="A4" s="16" t="s">
        <v>456</v>
      </c>
      <c r="B4" s="16"/>
      <c r="C4" s="15" t="s">
        <v>455</v>
      </c>
      <c r="D4" s="15" t="s">
        <v>454</v>
      </c>
      <c r="E4" s="15" t="s">
        <v>453</v>
      </c>
      <c r="F4" s="15" t="s">
        <v>452</v>
      </c>
      <c r="G4" s="15" t="s">
        <v>451</v>
      </c>
      <c r="H4" s="15" t="s">
        <v>450</v>
      </c>
      <c r="I4" s="15" t="s">
        <v>449</v>
      </c>
      <c r="J4" s="15" t="s">
        <v>448</v>
      </c>
      <c r="K4" s="15" t="s">
        <v>447</v>
      </c>
      <c r="L4" s="15" t="s">
        <v>446</v>
      </c>
      <c r="M4" s="15" t="s">
        <v>445</v>
      </c>
      <c r="N4" s="15" t="s">
        <v>444</v>
      </c>
      <c r="O4" s="15" t="s">
        <v>443</v>
      </c>
      <c r="P4" s="15" t="s">
        <v>442</v>
      </c>
      <c r="Q4" s="15" t="s">
        <v>441</v>
      </c>
      <c r="R4" s="15" t="s">
        <v>440</v>
      </c>
      <c r="S4" s="15" t="s">
        <v>439</v>
      </c>
      <c r="T4" s="15" t="s">
        <v>438</v>
      </c>
      <c r="U4" s="15" t="s">
        <v>437</v>
      </c>
      <c r="V4" s="15" t="s">
        <v>436</v>
      </c>
      <c r="W4" s="15" t="s">
        <v>435</v>
      </c>
      <c r="X4" s="15" t="s">
        <v>434</v>
      </c>
      <c r="Y4" s="15" t="s">
        <v>433</v>
      </c>
      <c r="Z4" s="15" t="s">
        <v>432</v>
      </c>
      <c r="AA4" s="15" t="s">
        <v>431</v>
      </c>
      <c r="AB4" s="15" t="s">
        <v>430</v>
      </c>
      <c r="AC4" s="15" t="s">
        <v>429</v>
      </c>
      <c r="AD4" s="15" t="s">
        <v>428</v>
      </c>
      <c r="AE4" s="15" t="s">
        <v>427</v>
      </c>
      <c r="AF4" s="15" t="s">
        <v>426</v>
      </c>
      <c r="AG4" s="15" t="s">
        <v>425</v>
      </c>
      <c r="AH4" s="15" t="s">
        <v>424</v>
      </c>
      <c r="AI4" s="15" t="s">
        <v>423</v>
      </c>
      <c r="AJ4" s="15" t="s">
        <v>422</v>
      </c>
      <c r="AK4" s="15" t="s">
        <v>421</v>
      </c>
    </row>
    <row r="5" spans="1:37" x14ac:dyDescent="0.45">
      <c r="A5" s="16" t="s">
        <v>420</v>
      </c>
      <c r="B5" s="16"/>
      <c r="C5" s="14" t="s">
        <v>419</v>
      </c>
      <c r="D5" s="14" t="s">
        <v>418</v>
      </c>
      <c r="E5" s="14" t="s">
        <v>417</v>
      </c>
      <c r="F5" s="14" t="s">
        <v>416</v>
      </c>
      <c r="G5" s="14" t="s">
        <v>415</v>
      </c>
      <c r="H5" s="14" t="s">
        <v>414</v>
      </c>
      <c r="I5" s="14" t="s">
        <v>413</v>
      </c>
      <c r="J5" s="14" t="s">
        <v>412</v>
      </c>
      <c r="K5" s="14" t="s">
        <v>411</v>
      </c>
      <c r="L5" s="14" t="s">
        <v>410</v>
      </c>
      <c r="M5" s="14" t="s">
        <v>409</v>
      </c>
      <c r="N5" s="14" t="s">
        <v>408</v>
      </c>
      <c r="O5" s="14" t="s">
        <v>407</v>
      </c>
      <c r="P5" s="14" t="s">
        <v>406</v>
      </c>
      <c r="Q5" s="14" t="s">
        <v>405</v>
      </c>
      <c r="R5" s="14" t="s">
        <v>404</v>
      </c>
      <c r="S5" s="14" t="s">
        <v>403</v>
      </c>
      <c r="T5" s="14" t="s">
        <v>402</v>
      </c>
      <c r="U5" s="14" t="s">
        <v>401</v>
      </c>
      <c r="V5" s="14" t="s">
        <v>400</v>
      </c>
      <c r="W5" s="14" t="s">
        <v>399</v>
      </c>
      <c r="X5" s="14" t="s">
        <v>398</v>
      </c>
      <c r="Y5" s="14" t="s">
        <v>397</v>
      </c>
      <c r="Z5" s="14" t="s">
        <v>396</v>
      </c>
      <c r="AA5" s="14" t="s">
        <v>395</v>
      </c>
      <c r="AB5" s="14" t="s">
        <v>394</v>
      </c>
      <c r="AC5" s="14" t="s">
        <v>393</v>
      </c>
      <c r="AD5" s="14" t="s">
        <v>392</v>
      </c>
      <c r="AE5" s="14" t="s">
        <v>391</v>
      </c>
      <c r="AF5" s="14" t="s">
        <v>390</v>
      </c>
      <c r="AG5" s="14" t="s">
        <v>389</v>
      </c>
      <c r="AH5" s="14" t="s">
        <v>388</v>
      </c>
      <c r="AI5" s="14" t="s">
        <v>387</v>
      </c>
      <c r="AJ5" s="14" t="s">
        <v>386</v>
      </c>
      <c r="AK5" s="14" t="s">
        <v>385</v>
      </c>
    </row>
    <row r="6" spans="1:37" x14ac:dyDescent="0.45">
      <c r="A6" s="16" t="s">
        <v>232</v>
      </c>
      <c r="B6" s="15" t="s">
        <v>384</v>
      </c>
      <c r="C6" s="14" t="s">
        <v>383</v>
      </c>
      <c r="D6" s="14" t="s">
        <v>382</v>
      </c>
      <c r="E6" s="14" t="s">
        <v>381</v>
      </c>
      <c r="F6" s="14" t="s">
        <v>380</v>
      </c>
      <c r="G6" s="14" t="s">
        <v>379</v>
      </c>
      <c r="H6" s="14" t="s">
        <v>378</v>
      </c>
      <c r="I6" s="14" t="s">
        <v>377</v>
      </c>
      <c r="J6" s="14" t="s">
        <v>376</v>
      </c>
      <c r="K6" s="14" t="s">
        <v>375</v>
      </c>
      <c r="L6" s="14" t="s">
        <v>374</v>
      </c>
      <c r="M6" s="14" t="s">
        <v>373</v>
      </c>
      <c r="N6" s="14" t="s">
        <v>372</v>
      </c>
      <c r="O6" s="14" t="s">
        <v>371</v>
      </c>
      <c r="P6" s="14" t="s">
        <v>370</v>
      </c>
      <c r="Q6" s="14" t="s">
        <v>369</v>
      </c>
      <c r="R6" s="14" t="s">
        <v>368</v>
      </c>
      <c r="S6" s="14" t="s">
        <v>367</v>
      </c>
      <c r="T6" s="14" t="s">
        <v>366</v>
      </c>
      <c r="U6" s="14" t="s">
        <v>365</v>
      </c>
      <c r="V6" s="14" t="s">
        <v>364</v>
      </c>
      <c r="W6" s="14" t="s">
        <v>363</v>
      </c>
      <c r="X6" s="14" t="s">
        <v>362</v>
      </c>
      <c r="Y6" s="14" t="s">
        <v>361</v>
      </c>
      <c r="Z6" s="14" t="s">
        <v>360</v>
      </c>
      <c r="AA6" s="14" t="s">
        <v>359</v>
      </c>
      <c r="AB6" s="14" t="s">
        <v>358</v>
      </c>
      <c r="AC6" s="14" t="s">
        <v>357</v>
      </c>
      <c r="AD6" s="14" t="s">
        <v>356</v>
      </c>
      <c r="AE6" s="14" t="s">
        <v>355</v>
      </c>
      <c r="AF6" s="14" t="s">
        <v>354</v>
      </c>
      <c r="AG6" s="14" t="s">
        <v>353</v>
      </c>
      <c r="AH6" s="14" t="s">
        <v>352</v>
      </c>
      <c r="AI6" s="14" t="s">
        <v>351</v>
      </c>
      <c r="AJ6" s="14" t="s">
        <v>350</v>
      </c>
      <c r="AK6" s="14" t="s">
        <v>349</v>
      </c>
    </row>
    <row r="7" spans="1:37" x14ac:dyDescent="0.45">
      <c r="A7" s="16"/>
      <c r="B7" s="15" t="s">
        <v>348</v>
      </c>
      <c r="C7" s="14" t="s">
        <v>339</v>
      </c>
      <c r="D7" s="14" t="s">
        <v>284</v>
      </c>
      <c r="E7" s="14" t="s">
        <v>347</v>
      </c>
      <c r="F7" s="14" t="s">
        <v>342</v>
      </c>
      <c r="G7" s="14" t="s">
        <v>346</v>
      </c>
      <c r="H7" s="14" t="s">
        <v>345</v>
      </c>
      <c r="I7" s="14" t="s">
        <v>344</v>
      </c>
      <c r="J7" s="14" t="s">
        <v>343</v>
      </c>
      <c r="K7" s="14" t="s">
        <v>284</v>
      </c>
      <c r="L7" s="14" t="s">
        <v>342</v>
      </c>
      <c r="M7" s="14" t="s">
        <v>341</v>
      </c>
      <c r="N7" s="14" t="s">
        <v>335</v>
      </c>
      <c r="O7" s="14" t="s">
        <v>335</v>
      </c>
      <c r="P7" s="14" t="s">
        <v>340</v>
      </c>
      <c r="Q7" s="14" t="s">
        <v>339</v>
      </c>
      <c r="R7" s="14" t="s">
        <v>334</v>
      </c>
      <c r="S7" s="14" t="s">
        <v>338</v>
      </c>
      <c r="T7" s="14" t="s">
        <v>337</v>
      </c>
      <c r="U7" s="14" t="s">
        <v>336</v>
      </c>
      <c r="V7" s="14" t="s">
        <v>335</v>
      </c>
      <c r="W7" s="14" t="s">
        <v>334</v>
      </c>
      <c r="X7" s="14" t="s">
        <v>333</v>
      </c>
      <c r="Y7" s="14" t="s">
        <v>281</v>
      </c>
      <c r="Z7" s="14" t="s">
        <v>332</v>
      </c>
      <c r="AA7" s="14" t="s">
        <v>332</v>
      </c>
      <c r="AB7" s="14" t="s">
        <v>331</v>
      </c>
      <c r="AC7" s="14" t="s">
        <v>283</v>
      </c>
      <c r="AD7" s="14" t="s">
        <v>330</v>
      </c>
      <c r="AE7" s="14" t="s">
        <v>329</v>
      </c>
      <c r="AF7" s="14" t="s">
        <v>329</v>
      </c>
      <c r="AG7" s="14" t="s">
        <v>329</v>
      </c>
      <c r="AH7" s="14" t="s">
        <v>279</v>
      </c>
      <c r="AI7" s="14" t="s">
        <v>328</v>
      </c>
      <c r="AJ7" s="14" t="s">
        <v>327</v>
      </c>
      <c r="AK7" s="14" t="s">
        <v>326</v>
      </c>
    </row>
    <row r="8" spans="1:37" x14ac:dyDescent="0.45">
      <c r="A8" s="16"/>
      <c r="B8" s="15" t="s">
        <v>325</v>
      </c>
      <c r="C8" s="14" t="s">
        <v>324</v>
      </c>
      <c r="D8" s="14" t="s">
        <v>323</v>
      </c>
      <c r="E8" s="14" t="s">
        <v>322</v>
      </c>
      <c r="F8" s="14" t="s">
        <v>321</v>
      </c>
      <c r="G8" s="14" t="s">
        <v>320</v>
      </c>
      <c r="H8" s="14" t="s">
        <v>319</v>
      </c>
      <c r="I8" s="14" t="s">
        <v>318</v>
      </c>
      <c r="J8" s="14" t="s">
        <v>317</v>
      </c>
      <c r="K8" s="14" t="s">
        <v>316</v>
      </c>
      <c r="L8" s="14" t="s">
        <v>315</v>
      </c>
      <c r="M8" s="14" t="s">
        <v>314</v>
      </c>
      <c r="N8" s="14" t="s">
        <v>313</v>
      </c>
      <c r="O8" s="14" t="s">
        <v>312</v>
      </c>
      <c r="P8" s="14" t="s">
        <v>311</v>
      </c>
      <c r="Q8" s="14" t="s">
        <v>310</v>
      </c>
      <c r="R8" s="14" t="s">
        <v>309</v>
      </c>
      <c r="S8" s="14" t="s">
        <v>308</v>
      </c>
      <c r="T8" s="14" t="s">
        <v>307</v>
      </c>
      <c r="U8" s="14" t="s">
        <v>306</v>
      </c>
      <c r="V8" s="14" t="s">
        <v>305</v>
      </c>
      <c r="W8" s="14" t="s">
        <v>304</v>
      </c>
      <c r="X8" s="14" t="s">
        <v>303</v>
      </c>
      <c r="Y8" s="14" t="s">
        <v>302</v>
      </c>
      <c r="Z8" s="14" t="s">
        <v>301</v>
      </c>
      <c r="AA8" s="14" t="s">
        <v>300</v>
      </c>
      <c r="AB8" s="14" t="s">
        <v>299</v>
      </c>
      <c r="AC8" s="14" t="s">
        <v>298</v>
      </c>
      <c r="AD8" s="14" t="s">
        <v>297</v>
      </c>
      <c r="AE8" s="14" t="s">
        <v>296</v>
      </c>
      <c r="AF8" s="14" t="s">
        <v>295</v>
      </c>
      <c r="AG8" s="14" t="s">
        <v>294</v>
      </c>
      <c r="AH8" s="14" t="s">
        <v>292</v>
      </c>
      <c r="AI8" s="14" t="s">
        <v>293</v>
      </c>
      <c r="AJ8" s="14" t="s">
        <v>292</v>
      </c>
      <c r="AK8" s="14" t="s">
        <v>291</v>
      </c>
    </row>
    <row r="9" spans="1:37" x14ac:dyDescent="0.45">
      <c r="A9" s="16"/>
      <c r="B9" s="15" t="s">
        <v>290</v>
      </c>
      <c r="C9" s="14" t="s">
        <v>289</v>
      </c>
      <c r="D9" s="14" t="s">
        <v>288</v>
      </c>
      <c r="E9" s="14" t="s">
        <v>287</v>
      </c>
      <c r="F9" s="14" t="s">
        <v>286</v>
      </c>
      <c r="G9" s="14" t="s">
        <v>285</v>
      </c>
      <c r="H9" s="14" t="s">
        <v>284</v>
      </c>
      <c r="I9" s="14" t="s">
        <v>283</v>
      </c>
      <c r="J9" s="14" t="s">
        <v>282</v>
      </c>
      <c r="K9" s="14" t="s">
        <v>281</v>
      </c>
      <c r="L9" s="14" t="s">
        <v>280</v>
      </c>
      <c r="M9" s="14" t="s">
        <v>279</v>
      </c>
      <c r="N9" s="14" t="s">
        <v>278</v>
      </c>
      <c r="O9" s="14" t="s">
        <v>277</v>
      </c>
      <c r="P9" s="14" t="s">
        <v>276</v>
      </c>
      <c r="Q9" s="14" t="s">
        <v>275</v>
      </c>
      <c r="R9" s="14" t="s">
        <v>274</v>
      </c>
      <c r="S9" s="14" t="s">
        <v>273</v>
      </c>
      <c r="T9" s="14" t="s">
        <v>272</v>
      </c>
      <c r="U9" s="14" t="s">
        <v>271</v>
      </c>
      <c r="V9" s="14" t="s">
        <v>270</v>
      </c>
      <c r="W9" s="14" t="s">
        <v>269</v>
      </c>
      <c r="X9" s="14" t="s">
        <v>268</v>
      </c>
      <c r="Y9" s="14" t="s">
        <v>267</v>
      </c>
      <c r="Z9" s="14" t="s">
        <v>266</v>
      </c>
      <c r="AA9" s="14" t="s">
        <v>265</v>
      </c>
      <c r="AB9" s="14" t="s">
        <v>264</v>
      </c>
      <c r="AC9" s="14" t="s">
        <v>263</v>
      </c>
      <c r="AD9" s="14" t="s">
        <v>262</v>
      </c>
      <c r="AE9" s="14" t="s">
        <v>261</v>
      </c>
      <c r="AF9" s="14" t="s">
        <v>260</v>
      </c>
      <c r="AG9" s="14" t="s">
        <v>259</v>
      </c>
      <c r="AH9" s="14" t="s">
        <v>258</v>
      </c>
      <c r="AI9" s="14" t="s">
        <v>257</v>
      </c>
      <c r="AJ9" s="14" t="s">
        <v>256</v>
      </c>
      <c r="AK9" s="14" t="s">
        <v>255</v>
      </c>
    </row>
    <row r="10" spans="1:37" x14ac:dyDescent="0.45">
      <c r="A10" s="13" t="s">
        <v>254</v>
      </c>
      <c r="B10" t="s">
        <v>253</v>
      </c>
    </row>
    <row r="11" spans="1:37" x14ac:dyDescent="0.45">
      <c r="B11" t="s">
        <v>252</v>
      </c>
    </row>
    <row r="12" spans="1:37" x14ac:dyDescent="0.45">
      <c r="A12" s="13" t="s">
        <v>251</v>
      </c>
      <c r="B12" t="s">
        <v>250</v>
      </c>
    </row>
    <row r="14" spans="1:37" x14ac:dyDescent="0.45">
      <c r="C14" t="str">
        <f>C4</f>
        <v>1990</v>
      </c>
      <c r="D14" t="str">
        <f>H4</f>
        <v>1995</v>
      </c>
      <c r="E14" t="str">
        <f>M4</f>
        <v>2000</v>
      </c>
      <c r="F14" t="str">
        <f>R4</f>
        <v>2005</v>
      </c>
      <c r="G14" t="str">
        <f>W4</f>
        <v>2010</v>
      </c>
      <c r="H14" t="str">
        <f>AB4</f>
        <v>2015</v>
      </c>
      <c r="I14" t="str">
        <f>AG4</f>
        <v>2020</v>
      </c>
      <c r="J14" t="str">
        <f>AH4</f>
        <v>2021</v>
      </c>
      <c r="K14" t="str">
        <f>AI4</f>
        <v>2022</v>
      </c>
      <c r="L14" t="str">
        <f>AJ4</f>
        <v>2023</v>
      </c>
      <c r="M14" t="str">
        <f>AK4</f>
        <v>2024 p)</v>
      </c>
    </row>
    <row r="15" spans="1:37" x14ac:dyDescent="0.45">
      <c r="A15" s="16" t="s">
        <v>420</v>
      </c>
      <c r="B15" s="16"/>
      <c r="C15" t="str">
        <f t="shared" ref="C15:C19" si="0">C5</f>
        <v>206.7</v>
      </c>
      <c r="D15" t="str">
        <f t="shared" ref="D15:D19" si="1">H5</f>
        <v>452.2</v>
      </c>
      <c r="E15" t="str">
        <f t="shared" ref="E15:E19" si="2">M5</f>
        <v>675.7</v>
      </c>
      <c r="F15" t="str">
        <f t="shared" ref="F15:F19" si="3">R5</f>
        <v>995.2</v>
      </c>
      <c r="G15" t="str">
        <f t="shared" ref="G15:G19" si="4">W5</f>
        <v>1,379.5</v>
      </c>
      <c r="H15" t="str">
        <f t="shared" ref="H15:H19" si="5">AB5</f>
        <v>1,740.8</v>
      </c>
      <c r="I15" t="str">
        <f t="shared" ref="I15:M15" si="6">AG5</f>
        <v>2,058.5</v>
      </c>
      <c r="J15" t="str">
        <f t="shared" si="6"/>
        <v>2,221.9</v>
      </c>
      <c r="K15" t="str">
        <f t="shared" si="6"/>
        <v>2,323.8</v>
      </c>
      <c r="L15" t="str">
        <f t="shared" si="6"/>
        <v>2,408.7</v>
      </c>
      <c r="M15" t="str">
        <f t="shared" si="6"/>
        <v>2,556.9</v>
      </c>
    </row>
    <row r="16" spans="1:37" x14ac:dyDescent="0.45">
      <c r="A16" s="16" t="s">
        <v>232</v>
      </c>
      <c r="B16" s="15" t="s">
        <v>384</v>
      </c>
      <c r="C16" t="str">
        <f t="shared" si="0"/>
        <v>33.2</v>
      </c>
      <c r="D16" t="str">
        <f t="shared" si="1"/>
        <v>72.1</v>
      </c>
      <c r="E16" t="str">
        <f t="shared" si="2"/>
        <v>113.5</v>
      </c>
      <c r="F16" t="str">
        <f t="shared" si="3"/>
        <v>163.4</v>
      </c>
      <c r="G16" t="str">
        <f t="shared" si="4"/>
        <v>226.9</v>
      </c>
      <c r="H16" t="str">
        <f t="shared" si="5"/>
        <v>288.9</v>
      </c>
      <c r="I16" t="str">
        <f t="shared" ref="I16:M16" si="7">AG6</f>
        <v>387.6</v>
      </c>
      <c r="J16" t="str">
        <f t="shared" si="7"/>
        <v>456.9</v>
      </c>
      <c r="K16" t="str">
        <f t="shared" si="7"/>
        <v>514.5</v>
      </c>
      <c r="L16" t="str">
        <f t="shared" si="7"/>
        <v>456.5</v>
      </c>
      <c r="M16" t="str">
        <f t="shared" si="7"/>
        <v>450.6</v>
      </c>
    </row>
    <row r="17" spans="1:13" x14ac:dyDescent="0.45">
      <c r="A17" s="16"/>
      <c r="B17" s="15" t="s">
        <v>348</v>
      </c>
      <c r="C17" t="str">
        <f t="shared" si="0"/>
        <v>16.1</v>
      </c>
      <c r="D17" t="str">
        <f t="shared" si="1"/>
        <v>15.9</v>
      </c>
      <c r="E17" t="str">
        <f t="shared" si="2"/>
        <v>16.8</v>
      </c>
      <c r="F17" t="str">
        <f t="shared" si="3"/>
        <v>16.4</v>
      </c>
      <c r="G17" t="str">
        <f t="shared" si="4"/>
        <v>16.4</v>
      </c>
      <c r="H17" t="str">
        <f t="shared" si="5"/>
        <v>16.6</v>
      </c>
      <c r="I17" t="str">
        <f t="shared" ref="I17:M17" si="8">AG7</f>
        <v>18.8</v>
      </c>
      <c r="J17" t="str">
        <f t="shared" si="8"/>
        <v>20.6</v>
      </c>
      <c r="K17" t="str">
        <f t="shared" si="8"/>
        <v>22.1</v>
      </c>
      <c r="L17" t="str">
        <f t="shared" si="8"/>
        <v>19.0</v>
      </c>
      <c r="M17" t="str">
        <f t="shared" si="8"/>
        <v>17.6</v>
      </c>
    </row>
    <row r="18" spans="1:13" x14ac:dyDescent="0.45">
      <c r="A18" s="16"/>
      <c r="B18" s="15" t="s">
        <v>325</v>
      </c>
      <c r="C18" t="str">
        <f t="shared" si="0"/>
        <v>26.8</v>
      </c>
      <c r="D18" t="str">
        <f t="shared" si="1"/>
        <v>56.8</v>
      </c>
      <c r="E18" t="str">
        <f t="shared" si="2"/>
        <v>92.9</v>
      </c>
      <c r="F18" t="str">
        <f t="shared" si="3"/>
        <v>127.5</v>
      </c>
      <c r="G18" t="str">
        <f t="shared" si="4"/>
        <v>177.7</v>
      </c>
      <c r="H18" t="str">
        <f t="shared" si="5"/>
        <v>217.9</v>
      </c>
      <c r="I18" t="str">
        <f t="shared" ref="I18:M18" si="9">AG8</f>
        <v>285.5</v>
      </c>
      <c r="J18" t="str">
        <f t="shared" si="9"/>
        <v>344.1</v>
      </c>
      <c r="K18" t="str">
        <f t="shared" si="9"/>
        <v>395.9</v>
      </c>
      <c r="L18" t="str">
        <f t="shared" si="9"/>
        <v>344.1</v>
      </c>
      <c r="M18" t="str">
        <f t="shared" si="9"/>
        <v>336.5</v>
      </c>
    </row>
    <row r="19" spans="1:13" x14ac:dyDescent="0.45">
      <c r="A19" s="16"/>
      <c r="B19" s="15" t="s">
        <v>290</v>
      </c>
      <c r="C19" t="str">
        <f t="shared" si="0"/>
        <v>6.4</v>
      </c>
      <c r="D19" t="str">
        <f t="shared" si="1"/>
        <v>15.3</v>
      </c>
      <c r="E19" t="str">
        <f t="shared" si="2"/>
        <v>20.6</v>
      </c>
      <c r="F19" t="str">
        <f t="shared" si="3"/>
        <v>36.0</v>
      </c>
      <c r="G19" t="str">
        <f t="shared" si="4"/>
        <v>49.2</v>
      </c>
      <c r="H19" t="str">
        <f t="shared" si="5"/>
        <v>71.0</v>
      </c>
      <c r="I19" t="str">
        <f t="shared" ref="I19:M19" si="10">AG9</f>
        <v>102.0</v>
      </c>
      <c r="J19" t="str">
        <f t="shared" si="10"/>
        <v>112.8</v>
      </c>
      <c r="K19" t="str">
        <f t="shared" si="10"/>
        <v>118.6</v>
      </c>
      <c r="L19" t="str">
        <f t="shared" si="10"/>
        <v>112.5</v>
      </c>
      <c r="M19" t="str">
        <f t="shared" si="10"/>
        <v>114.1</v>
      </c>
    </row>
  </sheetData>
  <mergeCells count="5">
    <mergeCell ref="A4:B4"/>
    <mergeCell ref="A5:B5"/>
    <mergeCell ref="A6:A9"/>
    <mergeCell ref="A15:B15"/>
    <mergeCell ref="A16:A19"/>
  </mergeCells>
  <phoneticPr fontId="2" type="noConversion"/>
  <hyperlinks>
    <hyperlink ref="A1" r:id="rId1" xr:uid="{A6873029-20B4-47D3-A259-54AD06EADEF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157F-6CEC-482D-AF41-21C277C80601}">
  <dimension ref="A3:A4"/>
  <sheetViews>
    <sheetView tabSelected="1" workbookViewId="0">
      <selection activeCell="S12" sqref="S12:S13"/>
    </sheetView>
  </sheetViews>
  <sheetFormatPr defaultRowHeight="17" x14ac:dyDescent="0.45"/>
  <sheetData>
    <row r="3" spans="1:1" x14ac:dyDescent="0.45">
      <c r="A3" t="s">
        <v>463</v>
      </c>
    </row>
    <row r="4" spans="1:1" x14ac:dyDescent="0.45">
      <c r="A4" t="s">
        <v>462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재정규모</vt:lpstr>
      <vt:lpstr>국세수입</vt:lpstr>
      <vt:lpstr>세외수입</vt:lpstr>
      <vt:lpstr>기능별 세출실적</vt:lpstr>
      <vt:lpstr>성질별 분류</vt:lpstr>
      <vt:lpstr>국가별 재정지출규모</vt:lpstr>
      <vt:lpstr>공공사회복지 지출 수준 비교</vt:lpstr>
      <vt:lpstr>기능별 세출 (연도별)</vt:lpstr>
      <vt:lpstr>조세부담률 변화 추이</vt:lpstr>
      <vt:lpstr>지방재정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2026-03-13T02:16:12Z</dcterms:created>
  <dcterms:modified xsi:type="dcterms:W3CDTF">2026-03-14T08:14:24Z</dcterms:modified>
</cp:coreProperties>
</file>